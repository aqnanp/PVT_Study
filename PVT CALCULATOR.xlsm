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qnan Matthew\OneDrive\Desktop\"/>
    </mc:Choice>
  </mc:AlternateContent>
  <xr:revisionPtr revIDLastSave="12" documentId="13_ncr:1_{26438BD9-35EC-499C-A2BA-F655797D3C93}" xr6:coauthVersionLast="45" xr6:coauthVersionMax="45" xr10:uidLastSave="{EA20EBEA-962C-4EBC-867C-E416CC6D02E6}"/>
  <bookViews>
    <workbookView xWindow="-110" yWindow="-110" windowWidth="19420" windowHeight="10420" firstSheet="1" activeTab="1" xr2:uid="{00000000-000D-0000-FFFF-FFFF00000000}"/>
  </bookViews>
  <sheets>
    <sheet name="SIGN IN" sheetId="10" state="hidden" r:id="rId1"/>
    <sheet name="MAIN" sheetId="2" r:id="rId2"/>
    <sheet name="PVTCALCULATOR" sheetId="6" state="hidden" r:id="rId3"/>
    <sheet name="TABLE" sheetId="4" state="hidden" r:id="rId4"/>
    <sheet name="GRAFIK" sheetId="5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3" i="6" l="1"/>
  <c r="N10" i="2"/>
  <c r="C10" i="4" l="1"/>
  <c r="B7" i="5" s="1"/>
  <c r="C6" i="5" l="1"/>
  <c r="C5" i="5"/>
  <c r="I5" i="5" l="1"/>
  <c r="I11" i="6" l="1"/>
  <c r="I12" i="6"/>
  <c r="I10" i="6"/>
  <c r="B52" i="4" l="1"/>
  <c r="N11" i="2"/>
  <c r="N12" i="2"/>
  <c r="O10" i="4"/>
  <c r="Q10" i="4"/>
  <c r="G10" i="6"/>
  <c r="S10" i="4"/>
  <c r="R10" i="4"/>
  <c r="N9" i="2"/>
  <c r="P10" i="4"/>
  <c r="N15" i="2" l="1"/>
  <c r="D10" i="4"/>
  <c r="C11" i="4"/>
  <c r="B8" i="5" s="1"/>
  <c r="P11" i="4"/>
  <c r="F10" i="4"/>
  <c r="G12" i="6"/>
  <c r="H11" i="4"/>
  <c r="O11" i="4"/>
  <c r="E10" i="4"/>
  <c r="H10" i="4"/>
  <c r="G21" i="6"/>
  <c r="R11" i="4"/>
  <c r="S11" i="4"/>
  <c r="F11" i="4"/>
  <c r="Q11" i="4"/>
  <c r="C12" i="4" l="1"/>
  <c r="B9" i="5" s="1"/>
  <c r="D11" i="4"/>
  <c r="F12" i="4"/>
  <c r="R12" i="4"/>
  <c r="E11" i="4"/>
  <c r="H12" i="4"/>
  <c r="Q12" i="4"/>
  <c r="G10" i="4"/>
  <c r="O12" i="4"/>
  <c r="I10" i="4"/>
  <c r="P12" i="4"/>
  <c r="S12" i="4"/>
  <c r="D12" i="4" l="1"/>
  <c r="C13" i="4"/>
  <c r="B10" i="5" s="1"/>
  <c r="R13" i="4"/>
  <c r="H13" i="4"/>
  <c r="O13" i="4"/>
  <c r="E12" i="4"/>
  <c r="S13" i="4"/>
  <c r="I11" i="4"/>
  <c r="F13" i="4"/>
  <c r="P13" i="4"/>
  <c r="Q13" i="4"/>
  <c r="G11" i="4"/>
  <c r="C14" i="4" l="1"/>
  <c r="B11" i="5" s="1"/>
  <c r="D13" i="4"/>
  <c r="H14" i="4"/>
  <c r="G12" i="4"/>
  <c r="R14" i="4"/>
  <c r="I12" i="4"/>
  <c r="F14" i="4"/>
  <c r="E13" i="4"/>
  <c r="P14" i="4"/>
  <c r="S14" i="4"/>
  <c r="O14" i="4"/>
  <c r="Q14" i="4"/>
  <c r="C15" i="4" l="1"/>
  <c r="B12" i="5" s="1"/>
  <c r="D14" i="4"/>
  <c r="G13" i="4"/>
  <c r="I13" i="4"/>
  <c r="O15" i="4"/>
  <c r="H15" i="4"/>
  <c r="S15" i="4"/>
  <c r="P15" i="4"/>
  <c r="F15" i="4"/>
  <c r="E14" i="4"/>
  <c r="Q15" i="4"/>
  <c r="R15" i="4"/>
  <c r="C16" i="4" l="1"/>
  <c r="B13" i="5" s="1"/>
  <c r="D15" i="4"/>
  <c r="O16" i="4"/>
  <c r="I14" i="4"/>
  <c r="P16" i="4"/>
  <c r="Q16" i="4"/>
  <c r="F16" i="4"/>
  <c r="H16" i="4"/>
  <c r="S16" i="4"/>
  <c r="G14" i="4"/>
  <c r="R16" i="4"/>
  <c r="E16" i="4"/>
  <c r="E15" i="4"/>
  <c r="C17" i="4" l="1"/>
  <c r="B14" i="5" s="1"/>
  <c r="D16" i="4"/>
  <c r="S17" i="4"/>
  <c r="R17" i="4"/>
  <c r="G15" i="4"/>
  <c r="I16" i="4"/>
  <c r="I15" i="4"/>
  <c r="G16" i="4"/>
  <c r="O17" i="4"/>
  <c r="Q17" i="4"/>
  <c r="F17" i="4"/>
  <c r="P17" i="4"/>
  <c r="H17" i="4"/>
  <c r="C18" i="4" l="1"/>
  <c r="B15" i="5" s="1"/>
  <c r="D17" i="4"/>
  <c r="G9" i="6"/>
  <c r="F18" i="4"/>
  <c r="G26" i="6"/>
  <c r="Q18" i="4"/>
  <c r="O18" i="4"/>
  <c r="P18" i="4"/>
  <c r="G14" i="6"/>
  <c r="G23" i="6"/>
  <c r="G15" i="6"/>
  <c r="R18" i="4"/>
  <c r="S18" i="4"/>
  <c r="G20" i="6"/>
  <c r="G24" i="6"/>
  <c r="G11" i="6"/>
  <c r="H18" i="4"/>
  <c r="E17" i="4"/>
  <c r="G17" i="4"/>
  <c r="C19" i="4" l="1"/>
  <c r="B16" i="5" s="1"/>
  <c r="D18" i="4"/>
  <c r="I17" i="4"/>
  <c r="F19" i="4"/>
  <c r="Q19" i="4"/>
  <c r="S19" i="4"/>
  <c r="O19" i="4"/>
  <c r="R19" i="4"/>
  <c r="H19" i="4"/>
  <c r="P19" i="4"/>
  <c r="E18" i="4"/>
  <c r="G18" i="4" s="1"/>
  <c r="G18" i="6"/>
  <c r="C20" i="4" l="1"/>
  <c r="B17" i="5" s="1"/>
  <c r="D19" i="4"/>
  <c r="G16" i="6"/>
  <c r="T4" i="2"/>
  <c r="T3" i="2"/>
  <c r="P20" i="4"/>
  <c r="H20" i="4"/>
  <c r="S20" i="4"/>
  <c r="O20" i="4"/>
  <c r="F20" i="4"/>
  <c r="R20" i="4"/>
  <c r="Q20" i="4"/>
  <c r="I18" i="4"/>
  <c r="E19" i="4"/>
  <c r="G19" i="4"/>
  <c r="I19" i="4"/>
  <c r="C21" i="4" l="1"/>
  <c r="B18" i="5" s="1"/>
  <c r="D20" i="4"/>
  <c r="H21" i="4"/>
  <c r="F21" i="4"/>
  <c r="O21" i="4"/>
  <c r="R21" i="4"/>
  <c r="S21" i="4"/>
  <c r="Q21" i="4"/>
  <c r="P21" i="4"/>
  <c r="E20" i="4"/>
  <c r="C22" i="4" l="1"/>
  <c r="B19" i="5" s="1"/>
  <c r="D21" i="4"/>
  <c r="I20" i="4"/>
  <c r="R22" i="4"/>
  <c r="Q22" i="4"/>
  <c r="P22" i="4"/>
  <c r="F22" i="4"/>
  <c r="S22" i="4"/>
  <c r="H22" i="4"/>
  <c r="E21" i="4"/>
  <c r="G21" i="4" s="1"/>
  <c r="O22" i="4"/>
  <c r="G20" i="4"/>
  <c r="C23" i="4" l="1"/>
  <c r="B20" i="5" s="1"/>
  <c r="D22" i="4"/>
  <c r="E22" i="4"/>
  <c r="O23" i="4"/>
  <c r="P23" i="4"/>
  <c r="I21" i="4"/>
  <c r="H23" i="4"/>
  <c r="S23" i="4"/>
  <c r="F23" i="4"/>
  <c r="Q23" i="4"/>
  <c r="R23" i="4"/>
  <c r="C24" i="4" l="1"/>
  <c r="B21" i="5" s="1"/>
  <c r="D23" i="4"/>
  <c r="S24" i="4"/>
  <c r="Q24" i="4"/>
  <c r="E23" i="4"/>
  <c r="R24" i="4"/>
  <c r="F24" i="4"/>
  <c r="I22" i="4"/>
  <c r="G22" i="4"/>
  <c r="P24" i="4"/>
  <c r="O24" i="4"/>
  <c r="H24" i="4"/>
  <c r="G23" i="4"/>
  <c r="I23" i="4"/>
  <c r="C25" i="4" l="1"/>
  <c r="B22" i="5" s="1"/>
  <c r="D24" i="4"/>
  <c r="R25" i="4"/>
  <c r="O25" i="4"/>
  <c r="E24" i="4"/>
  <c r="Q25" i="4"/>
  <c r="H25" i="4"/>
  <c r="P25" i="4"/>
  <c r="S25" i="4"/>
  <c r="F25" i="4"/>
  <c r="C26" i="4" l="1"/>
  <c r="B23" i="5" s="1"/>
  <c r="D25" i="4"/>
  <c r="H26" i="4"/>
  <c r="Q26" i="4"/>
  <c r="R26" i="4"/>
  <c r="O26" i="4"/>
  <c r="F26" i="4"/>
  <c r="I24" i="4"/>
  <c r="E25" i="4"/>
  <c r="P26" i="4"/>
  <c r="S26" i="4"/>
  <c r="G24" i="4"/>
  <c r="C27" i="4" l="1"/>
  <c r="B24" i="5" s="1"/>
  <c r="D26" i="4"/>
  <c r="P27" i="4"/>
  <c r="F27" i="4"/>
  <c r="G25" i="4"/>
  <c r="I25" i="4"/>
  <c r="S27" i="4"/>
  <c r="E26" i="4"/>
  <c r="G26" i="4" s="1"/>
  <c r="Q27" i="4"/>
  <c r="H27" i="4"/>
  <c r="I26" i="4"/>
  <c r="O27" i="4"/>
  <c r="R27" i="4"/>
  <c r="C28" i="4" l="1"/>
  <c r="B25" i="5" s="1"/>
  <c r="D27" i="4"/>
  <c r="S28" i="4"/>
  <c r="E27" i="4"/>
  <c r="F28" i="4"/>
  <c r="P28" i="4"/>
  <c r="R28" i="4"/>
  <c r="Q28" i="4"/>
  <c r="H28" i="4"/>
  <c r="O28" i="4"/>
  <c r="C29" i="4" l="1"/>
  <c r="B26" i="5" s="1"/>
  <c r="D28" i="4"/>
  <c r="G27" i="4"/>
  <c r="Q29" i="4"/>
  <c r="F29" i="4"/>
  <c r="H29" i="4"/>
  <c r="O29" i="4"/>
  <c r="S29" i="4"/>
  <c r="E28" i="4"/>
  <c r="I28" i="4"/>
  <c r="P29" i="4"/>
  <c r="R29" i="4"/>
  <c r="I27" i="4"/>
  <c r="G28" i="4"/>
  <c r="C30" i="4" l="1"/>
  <c r="B27" i="5" s="1"/>
  <c r="D29" i="4"/>
  <c r="O30" i="4"/>
  <c r="E29" i="4"/>
  <c r="P30" i="4"/>
  <c r="F30" i="4"/>
  <c r="Q30" i="4"/>
  <c r="R30" i="4"/>
  <c r="H30" i="4"/>
  <c r="S30" i="4"/>
  <c r="C31" i="4" l="1"/>
  <c r="B28" i="5" s="1"/>
  <c r="D30" i="4"/>
  <c r="G29" i="4"/>
  <c r="I29" i="4"/>
  <c r="R31" i="4"/>
  <c r="E30" i="4"/>
  <c r="I30" i="4" s="1"/>
  <c r="P31" i="4"/>
  <c r="Q31" i="4"/>
  <c r="O31" i="4"/>
  <c r="G30" i="4"/>
  <c r="S31" i="4"/>
  <c r="F31" i="4"/>
  <c r="H31" i="4"/>
  <c r="C32" i="4" l="1"/>
  <c r="B29" i="5" s="1"/>
  <c r="D31" i="4"/>
  <c r="F32" i="4"/>
  <c r="P32" i="4"/>
  <c r="R32" i="4"/>
  <c r="Q32" i="4"/>
  <c r="H32" i="4"/>
  <c r="S32" i="4"/>
  <c r="O32" i="4"/>
  <c r="E31" i="4"/>
  <c r="C33" i="4" l="1"/>
  <c r="B30" i="5" s="1"/>
  <c r="D32" i="4"/>
  <c r="G31" i="4"/>
  <c r="S33" i="4"/>
  <c r="P33" i="4"/>
  <c r="H33" i="4"/>
  <c r="O33" i="4"/>
  <c r="Q33" i="4"/>
  <c r="F33" i="4"/>
  <c r="I31" i="4"/>
  <c r="R33" i="4"/>
  <c r="E32" i="4"/>
  <c r="C34" i="4" l="1"/>
  <c r="B31" i="5" s="1"/>
  <c r="D33" i="4"/>
  <c r="G32" i="4"/>
  <c r="P34" i="4"/>
  <c r="R34" i="4"/>
  <c r="H34" i="4"/>
  <c r="F34" i="4"/>
  <c r="E33" i="4"/>
  <c r="I33" i="4" s="1"/>
  <c r="S34" i="4"/>
  <c r="Q34" i="4"/>
  <c r="G33" i="4"/>
  <c r="E34" i="4"/>
  <c r="I32" i="4"/>
  <c r="O34" i="4"/>
  <c r="C35" i="4" l="1"/>
  <c r="B32" i="5" s="1"/>
  <c r="D34" i="4"/>
  <c r="F35" i="4"/>
  <c r="P35" i="4"/>
  <c r="G34" i="4"/>
  <c r="H35" i="4"/>
  <c r="O35" i="4"/>
  <c r="R35" i="4"/>
  <c r="S35" i="4"/>
  <c r="I34" i="4"/>
  <c r="Q35" i="4"/>
  <c r="C36" i="4" l="1"/>
  <c r="B33" i="5" s="1"/>
  <c r="D35" i="4"/>
  <c r="P36" i="4"/>
  <c r="F36" i="4"/>
  <c r="S36" i="4"/>
  <c r="R36" i="4"/>
  <c r="H36" i="4"/>
  <c r="Q36" i="4"/>
  <c r="E35" i="4"/>
  <c r="O36" i="4"/>
  <c r="C37" i="4" l="1"/>
  <c r="B34" i="5" s="1"/>
  <c r="D36" i="4"/>
  <c r="G35" i="4"/>
  <c r="F37" i="4"/>
  <c r="I35" i="4"/>
  <c r="R37" i="4"/>
  <c r="H37" i="4"/>
  <c r="P37" i="4"/>
  <c r="S37" i="4"/>
  <c r="Q37" i="4"/>
  <c r="O37" i="4"/>
  <c r="E36" i="4"/>
  <c r="I36" i="4" s="1"/>
  <c r="C38" i="4" l="1"/>
  <c r="B35" i="5" s="1"/>
  <c r="D37" i="4"/>
  <c r="R38" i="4"/>
  <c r="P38" i="4"/>
  <c r="E37" i="4"/>
  <c r="F38" i="4"/>
  <c r="H38" i="4"/>
  <c r="Q38" i="4"/>
  <c r="S38" i="4"/>
  <c r="G36" i="4"/>
  <c r="I37" i="4"/>
  <c r="G37" i="4"/>
  <c r="O38" i="4"/>
  <c r="C39" i="4" l="1"/>
  <c r="B36" i="5" s="1"/>
  <c r="D38" i="4"/>
  <c r="H39" i="4"/>
  <c r="S39" i="4"/>
  <c r="F39" i="4"/>
  <c r="P39" i="4"/>
  <c r="Q39" i="4"/>
  <c r="R39" i="4"/>
  <c r="E38" i="4"/>
  <c r="E39" i="4"/>
  <c r="O39" i="4"/>
  <c r="G38" i="4"/>
  <c r="I38" i="4"/>
  <c r="C40" i="4" l="1"/>
  <c r="B37" i="5" s="1"/>
  <c r="D39" i="4"/>
  <c r="R40" i="4"/>
  <c r="P40" i="4"/>
  <c r="I39" i="4"/>
  <c r="G39" i="4"/>
  <c r="H40" i="4"/>
  <c r="O40" i="4"/>
  <c r="Q40" i="4"/>
  <c r="E40" i="4"/>
  <c r="F40" i="4"/>
  <c r="S40" i="4"/>
  <c r="C41" i="4" l="1"/>
  <c r="B38" i="5" s="1"/>
  <c r="D40" i="4"/>
  <c r="F41" i="4"/>
  <c r="O41" i="4"/>
  <c r="R41" i="4"/>
  <c r="P41" i="4"/>
  <c r="G40" i="4"/>
  <c r="S41" i="4"/>
  <c r="H41" i="4"/>
  <c r="I40" i="4"/>
  <c r="Q41" i="4"/>
  <c r="C42" i="4" l="1"/>
  <c r="B39" i="5" s="1"/>
  <c r="D41" i="4"/>
  <c r="Q42" i="4"/>
  <c r="R42" i="4"/>
  <c r="P42" i="4"/>
  <c r="O42" i="4"/>
  <c r="S42" i="4"/>
  <c r="F42" i="4"/>
  <c r="E41" i="4"/>
  <c r="H42" i="4"/>
  <c r="G41" i="4"/>
  <c r="I41" i="4"/>
  <c r="C43" i="4" l="1"/>
  <c r="B40" i="5" s="1"/>
  <c r="D42" i="4"/>
  <c r="S43" i="4"/>
  <c r="F43" i="4"/>
  <c r="E42" i="4"/>
  <c r="O43" i="4"/>
  <c r="H43" i="4"/>
  <c r="P43" i="4"/>
  <c r="Q43" i="4"/>
  <c r="R43" i="4"/>
  <c r="C44" i="4" l="1"/>
  <c r="B41" i="5" s="1"/>
  <c r="D43" i="4"/>
  <c r="I42" i="4"/>
  <c r="Q44" i="4"/>
  <c r="F44" i="4"/>
  <c r="G42" i="4"/>
  <c r="E43" i="4"/>
  <c r="H44" i="4"/>
  <c r="O44" i="4"/>
  <c r="P44" i="4"/>
  <c r="R44" i="4"/>
  <c r="S44" i="4"/>
  <c r="G43" i="4"/>
  <c r="I43" i="4"/>
  <c r="C45" i="4" l="1"/>
  <c r="D44" i="4"/>
  <c r="P45" i="4"/>
  <c r="Q45" i="4"/>
  <c r="E44" i="4"/>
  <c r="O45" i="4"/>
  <c r="I44" i="4"/>
  <c r="S45" i="4"/>
  <c r="R45" i="4"/>
  <c r="F45" i="4"/>
  <c r="H45" i="4"/>
  <c r="E45" i="4"/>
  <c r="G44" i="4"/>
  <c r="C46" i="4" l="1"/>
  <c r="B42" i="5"/>
  <c r="D45" i="4"/>
  <c r="P46" i="4"/>
  <c r="H46" i="4"/>
  <c r="G45" i="4"/>
  <c r="I45" i="4"/>
  <c r="F46" i="4"/>
  <c r="S46" i="4"/>
  <c r="R46" i="4"/>
  <c r="J46" i="4"/>
  <c r="Q46" i="4"/>
  <c r="L46" i="4"/>
  <c r="E46" i="4"/>
  <c r="O46" i="4"/>
  <c r="D46" i="4" l="1"/>
  <c r="M46" i="4"/>
  <c r="G46" i="4"/>
  <c r="I46" i="4"/>
  <c r="N16" i="2" l="1"/>
  <c r="G17" i="6"/>
  <c r="N39" i="4"/>
  <c r="N35" i="4"/>
  <c r="N32" i="4"/>
  <c r="K26" i="4"/>
  <c r="N36" i="4"/>
  <c r="K25" i="4"/>
  <c r="K39" i="4"/>
  <c r="K11" i="4"/>
  <c r="K21" i="4"/>
  <c r="N27" i="4"/>
  <c r="K24" i="4"/>
  <c r="K23" i="4"/>
  <c r="L23" i="4" s="1"/>
  <c r="N12" i="4"/>
  <c r="K41" i="4"/>
  <c r="N24" i="4"/>
  <c r="K29" i="4"/>
  <c r="J23" i="4"/>
  <c r="N45" i="4"/>
  <c r="N44" i="4"/>
  <c r="N22" i="4"/>
  <c r="K32" i="4"/>
  <c r="N26" i="4"/>
  <c r="N13" i="4"/>
  <c r="G25" i="6"/>
  <c r="N19" i="4"/>
  <c r="N41" i="4"/>
  <c r="N30" i="4"/>
  <c r="K30" i="4"/>
  <c r="N10" i="4"/>
  <c r="N40" i="4"/>
  <c r="N11" i="4"/>
  <c r="K44" i="4"/>
  <c r="K10" i="4"/>
  <c r="N37" i="4"/>
  <c r="N28" i="4"/>
  <c r="K31" i="4"/>
  <c r="N16" i="4"/>
  <c r="K28" i="4"/>
  <c r="K38" i="4"/>
  <c r="K16" i="4"/>
  <c r="N14" i="4"/>
  <c r="N38" i="4"/>
  <c r="K45" i="4"/>
  <c r="K20" i="4"/>
  <c r="N21" i="4"/>
  <c r="N46" i="4"/>
  <c r="K27" i="4"/>
  <c r="K18" i="4"/>
  <c r="N34" i="4"/>
  <c r="N43" i="4"/>
  <c r="K43" i="4"/>
  <c r="K12" i="4"/>
  <c r="K14" i="4"/>
  <c r="L21" i="4"/>
  <c r="K22" i="4"/>
  <c r="N20" i="4"/>
  <c r="K37" i="4"/>
  <c r="N17" i="4"/>
  <c r="N31" i="4"/>
  <c r="K13" i="4"/>
  <c r="K15" i="4"/>
  <c r="N25" i="4"/>
  <c r="K34" i="4"/>
  <c r="K36" i="4"/>
  <c r="K19" i="4"/>
  <c r="K42" i="4"/>
  <c r="K35" i="4"/>
  <c r="K17" i="4"/>
  <c r="K40" i="4"/>
  <c r="N23" i="4"/>
  <c r="N18" i="4"/>
  <c r="K33" i="4"/>
  <c r="N29" i="4"/>
  <c r="N33" i="4"/>
  <c r="N42" i="4"/>
  <c r="N15" i="4"/>
  <c r="C7" i="5" l="1"/>
  <c r="L19" i="4"/>
  <c r="J45" i="4"/>
  <c r="J38" i="4"/>
  <c r="L31" i="4"/>
  <c r="J29" i="4"/>
  <c r="L12" i="4"/>
  <c r="L33" i="4"/>
  <c r="L24" i="4"/>
  <c r="J28" i="4"/>
  <c r="L44" i="4"/>
  <c r="J42" i="4"/>
  <c r="L11" i="4"/>
  <c r="J17" i="4"/>
  <c r="J39" i="4"/>
  <c r="J20" i="4"/>
  <c r="L15" i="4"/>
  <c r="J33" i="4"/>
  <c r="L26" i="4"/>
  <c r="J24" i="4"/>
  <c r="M24" i="4" s="1"/>
  <c r="L22" i="4"/>
  <c r="J12" i="4"/>
  <c r="L35" i="4"/>
  <c r="L34" i="4"/>
  <c r="J11" i="4"/>
  <c r="M11" i="4" s="1"/>
  <c r="J14" i="4"/>
  <c r="L27" i="4"/>
  <c r="L36" i="4"/>
  <c r="J32" i="4"/>
  <c r="L14" i="4"/>
  <c r="L17" i="4"/>
  <c r="L30" i="4"/>
  <c r="L25" i="4"/>
  <c r="L39" i="4"/>
  <c r="L41" i="4"/>
  <c r="L16" i="4"/>
  <c r="L28" i="4"/>
  <c r="M23" i="4"/>
  <c r="J35" i="4"/>
  <c r="J26" i="4"/>
  <c r="J27" i="4"/>
  <c r="J44" i="4"/>
  <c r="L38" i="4"/>
  <c r="L37" i="4"/>
  <c r="L45" i="4"/>
  <c r="L42" i="4"/>
  <c r="J18" i="4"/>
  <c r="J22" i="4"/>
  <c r="J19" i="4"/>
  <c r="L32" i="4"/>
  <c r="J36" i="4"/>
  <c r="J43" i="4"/>
  <c r="J10" i="4"/>
  <c r="J16" i="4"/>
  <c r="L13" i="4"/>
  <c r="L29" i="4"/>
  <c r="L10" i="4"/>
  <c r="G13" i="6"/>
  <c r="J31" i="4"/>
  <c r="J41" i="4"/>
  <c r="J40" i="4"/>
  <c r="J15" i="4"/>
  <c r="J13" i="4"/>
  <c r="J37" i="4"/>
  <c r="J21" i="4"/>
  <c r="L40" i="4"/>
  <c r="J30" i="4"/>
  <c r="J34" i="4"/>
  <c r="J25" i="4"/>
  <c r="L43" i="4"/>
  <c r="L20" i="4"/>
  <c r="G19" i="6"/>
  <c r="L18" i="4"/>
  <c r="C35" i="5" l="1"/>
  <c r="C39" i="5"/>
  <c r="C9" i="5"/>
  <c r="C23" i="5"/>
  <c r="C36" i="5"/>
  <c r="C28" i="5"/>
  <c r="C10" i="5"/>
  <c r="C14" i="5"/>
  <c r="C34" i="5"/>
  <c r="C12" i="5"/>
  <c r="C22" i="5"/>
  <c r="C21" i="5"/>
  <c r="C31" i="5"/>
  <c r="C30" i="5"/>
  <c r="C11" i="5"/>
  <c r="C25" i="5"/>
  <c r="C20" i="5"/>
  <c r="C29" i="5"/>
  <c r="C18" i="5"/>
  <c r="C15" i="5"/>
  <c r="C26" i="5"/>
  <c r="C19" i="5"/>
  <c r="C27" i="5"/>
  <c r="C8" i="5"/>
  <c r="C40" i="5"/>
  <c r="C13" i="5"/>
  <c r="C32" i="5"/>
  <c r="C38" i="5"/>
  <c r="C42" i="5"/>
  <c r="C37" i="5"/>
  <c r="C41" i="5"/>
  <c r="C16" i="5"/>
  <c r="C17" i="5"/>
  <c r="M33" i="4"/>
  <c r="M42" i="4"/>
  <c r="M32" i="4"/>
  <c r="M10" i="4"/>
  <c r="M17" i="4"/>
  <c r="M40" i="4"/>
  <c r="M36" i="4"/>
  <c r="M16" i="4"/>
  <c r="M26" i="4"/>
  <c r="M41" i="4"/>
  <c r="M34" i="4"/>
  <c r="M15" i="4"/>
  <c r="M19" i="4"/>
  <c r="M35" i="4"/>
  <c r="M28" i="4"/>
  <c r="M18" i="4"/>
  <c r="M25" i="4"/>
  <c r="M44" i="4"/>
  <c r="M20" i="4"/>
  <c r="M30" i="4"/>
  <c r="M45" i="4"/>
  <c r="M39" i="4"/>
  <c r="M37" i="4"/>
  <c r="G22" i="6"/>
  <c r="M38" i="4"/>
  <c r="M27" i="4"/>
  <c r="M13" i="4"/>
  <c r="M21" i="4"/>
  <c r="M29" i="4"/>
  <c r="M22" i="4"/>
  <c r="M43" i="4"/>
  <c r="M12" i="4"/>
  <c r="M14" i="4"/>
  <c r="M31" i="4"/>
  <c r="C24" i="5" l="1"/>
  <c r="C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prabeantn</author>
    <author>windows</author>
  </authors>
  <commentList>
    <comment ref="K9" authorId="0" shapeId="0" xr:uid="{00000000-0006-0000-0100-000001000000}">
      <text>
        <r>
          <rPr>
            <b/>
            <sz val="15"/>
            <color indexed="81"/>
            <rFont val="Century Gothic"/>
            <family val="2"/>
          </rPr>
          <t>Correlation :
1. Misc. Gas (Standing's Correlation)
2. Condensate Gas (Sutton's Correlation)
3. Condensate Gas (Standing's Correlation)</t>
        </r>
      </text>
    </comment>
    <comment ref="K11" authorId="1" shapeId="0" xr:uid="{00000000-0006-0000-0100-000002000000}">
      <text>
        <r>
          <rPr>
            <b/>
            <sz val="16"/>
            <color indexed="81"/>
            <rFont val="Tahoma"/>
            <family val="2"/>
          </rPr>
          <t>1. Carr Kobayashi
2. Kays Mixture Rules</t>
        </r>
      </text>
    </comment>
    <comment ref="J15" authorId="1" shapeId="0" xr:uid="{00000000-0006-0000-0100-000003000000}">
      <text>
        <r>
          <rPr>
            <b/>
            <sz val="14"/>
            <color indexed="81"/>
            <rFont val="Tahoma"/>
            <family val="2"/>
          </rPr>
          <t>Ppr = P/P'pc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100-000004000000}">
      <text>
        <r>
          <rPr>
            <b/>
            <sz val="14"/>
            <color indexed="81"/>
            <rFont val="Century Gothic"/>
            <family val="2"/>
          </rPr>
          <t>Tpr = T/T'pc</t>
        </r>
        <r>
          <rPr>
            <b/>
            <sz val="12"/>
            <color indexed="81"/>
            <rFont val="Century Gothic"/>
            <family val="2"/>
          </rPr>
          <t xml:space="preserve">
</t>
        </r>
      </text>
    </comment>
    <comment ref="E20" authorId="1" shapeId="0" xr:uid="{00000000-0006-0000-0100-000005000000}">
      <text>
        <r>
          <rPr>
            <b/>
            <sz val="14"/>
            <color indexed="81"/>
            <rFont val="Tahoma"/>
            <family val="2"/>
          </rPr>
          <t>1. Standing
2. Vasquez-Beggs</t>
        </r>
      </text>
    </comment>
    <comment ref="L20" authorId="1" shapeId="0" xr:uid="{00000000-0006-0000-0100-000006000000}">
      <text>
        <r>
          <rPr>
            <b/>
            <sz val="12"/>
            <color indexed="81"/>
            <rFont val="Tahoma"/>
            <family val="2"/>
          </rPr>
          <t>1. Standard
2. Beggs - Brill</t>
        </r>
      </text>
    </comment>
  </commentList>
</comments>
</file>

<file path=xl/sharedStrings.xml><?xml version="1.0" encoding="utf-8"?>
<sst xmlns="http://schemas.openxmlformats.org/spreadsheetml/2006/main" count="181" uniqueCount="129">
  <si>
    <t>=</t>
  </si>
  <si>
    <t>psia</t>
  </si>
  <si>
    <t xml:space="preserve"> =</t>
  </si>
  <si>
    <t>SG gas</t>
  </si>
  <si>
    <t>Oil API</t>
  </si>
  <si>
    <t>scf/STB</t>
  </si>
  <si>
    <t>Correlation :</t>
  </si>
  <si>
    <t>Ppc</t>
  </si>
  <si>
    <t>Tpc</t>
  </si>
  <si>
    <t>Correction :</t>
  </si>
  <si>
    <t>P'pc</t>
  </si>
  <si>
    <t>T'pc</t>
  </si>
  <si>
    <t>Ppr</t>
  </si>
  <si>
    <t>Tpr</t>
  </si>
  <si>
    <t>%</t>
  </si>
  <si>
    <t>ppm</t>
  </si>
  <si>
    <t>:</t>
  </si>
  <si>
    <t>Rs at Pb</t>
  </si>
  <si>
    <t>P</t>
  </si>
  <si>
    <t>Rs</t>
  </si>
  <si>
    <t>Bo</t>
  </si>
  <si>
    <t>z</t>
  </si>
  <si>
    <t>Bg</t>
  </si>
  <si>
    <t>Bw</t>
  </si>
  <si>
    <t>Rsw</t>
  </si>
  <si>
    <t>FLUID PROPERTIES CORRELATION</t>
  </si>
  <si>
    <t>GENERAL DATA</t>
  </si>
  <si>
    <t>CRITICAL GAS DATA</t>
  </si>
  <si>
    <t>Reservoir Pressure</t>
  </si>
  <si>
    <t>Standard Pressure</t>
  </si>
  <si>
    <t>Reservoir Temperature</t>
  </si>
  <si>
    <t>OIL DATA</t>
  </si>
  <si>
    <t>Separator Pressure</t>
  </si>
  <si>
    <t>Separator Temperature</t>
  </si>
  <si>
    <t>Water Salinity</t>
  </si>
  <si>
    <t>IMPURITIES (% MOL)</t>
  </si>
  <si>
    <t>SYSTEM DATA</t>
  </si>
  <si>
    <t>System Pressure</t>
  </si>
  <si>
    <t>FLUID PROPERTIES IN OIL RESERVOIR</t>
  </si>
  <si>
    <t xml:space="preserve">       </t>
  </si>
  <si>
    <t>WATER DATA</t>
  </si>
  <si>
    <t>ENGINEER</t>
  </si>
  <si>
    <t>FIELD</t>
  </si>
  <si>
    <t xml:space="preserve">P = </t>
  </si>
  <si>
    <t xml:space="preserve">   (psia)</t>
  </si>
  <si>
    <t xml:space="preserve">Bo = </t>
  </si>
  <si>
    <t xml:space="preserve">   (RB/STB)</t>
  </si>
  <si>
    <t xml:space="preserve">Rs = </t>
  </si>
  <si>
    <t xml:space="preserve">   (Mscf/STB)</t>
  </si>
  <si>
    <t xml:space="preserve">Bg = </t>
  </si>
  <si>
    <t xml:space="preserve">   (RB/Mscf)</t>
  </si>
  <si>
    <t xml:space="preserve">Bw = </t>
  </si>
  <si>
    <t xml:space="preserve">Rsw = </t>
  </si>
  <si>
    <t xml:space="preserve">   (scf/STB)</t>
  </si>
  <si>
    <t xml:space="preserve">Conditions = </t>
  </si>
  <si>
    <t xml:space="preserve">   Oil Saturation</t>
  </si>
  <si>
    <t xml:space="preserve">z = </t>
  </si>
  <si>
    <t xml:space="preserve">   (vol/vol)</t>
  </si>
  <si>
    <t xml:space="preserve">   (lbm/cf)</t>
  </si>
  <si>
    <t xml:space="preserve">Gas Density = </t>
  </si>
  <si>
    <t xml:space="preserve">Brine Density = </t>
  </si>
  <si>
    <t xml:space="preserve">   (cp)</t>
  </si>
  <si>
    <t xml:space="preserve">Gas Viscosity = </t>
  </si>
  <si>
    <t xml:space="preserve">Brine Viscosity = </t>
  </si>
  <si>
    <t xml:space="preserve">Co x 1E-5 = </t>
  </si>
  <si>
    <t xml:space="preserve">   (1/MMpsi)</t>
  </si>
  <si>
    <t xml:space="preserve">Cg x 1E-5 = </t>
  </si>
  <si>
    <t xml:space="preserve">Cw x 1E-5 = </t>
  </si>
  <si>
    <t>Select Correlation</t>
  </si>
  <si>
    <t>Vasquez-Beggs</t>
  </si>
  <si>
    <t>pil</t>
  </si>
  <si>
    <t xml:space="preserve">Pb = </t>
  </si>
  <si>
    <t>(psia)</t>
  </si>
  <si>
    <t>Oil Sat</t>
  </si>
  <si>
    <t>(lbm/cuft)</t>
  </si>
  <si>
    <t>(Mscf/STB)</t>
  </si>
  <si>
    <t>(RB/STB)</t>
  </si>
  <si>
    <t>(cp)</t>
  </si>
  <si>
    <t>(1/MMpsi)</t>
  </si>
  <si>
    <t>(vol/vol)</t>
  </si>
  <si>
    <t>(RB/Mscf)</t>
  </si>
  <si>
    <t>(scf/STB)</t>
  </si>
  <si>
    <t>Condition</t>
  </si>
  <si>
    <t>μₒ</t>
  </si>
  <si>
    <t xml:space="preserve"> Oil Viscosity = </t>
  </si>
  <si>
    <t>Oil Density</t>
  </si>
  <si>
    <t>ρo</t>
  </si>
  <si>
    <r>
      <t>Cₒ (10</t>
    </r>
    <r>
      <rPr>
        <b/>
        <vertAlign val="superscript"/>
        <sz val="12"/>
        <color theme="1"/>
        <rFont val="Century Gothic"/>
        <family val="2"/>
      </rPr>
      <t>-5</t>
    </r>
    <r>
      <rPr>
        <b/>
        <sz val="12"/>
        <color theme="1"/>
        <rFont val="Century Gothic"/>
        <family val="2"/>
      </rPr>
      <t>/psi)</t>
    </r>
  </si>
  <si>
    <r>
      <t>ρ</t>
    </r>
    <r>
      <rPr>
        <b/>
        <vertAlign val="subscript"/>
        <sz val="12"/>
        <color rgb="FF000000"/>
        <rFont val="Century Gothic"/>
        <family val="2"/>
      </rPr>
      <t>g</t>
    </r>
  </si>
  <si>
    <r>
      <t>μ</t>
    </r>
    <r>
      <rPr>
        <b/>
        <vertAlign val="subscript"/>
        <sz val="12"/>
        <color theme="1"/>
        <rFont val="Century Gothic"/>
        <family val="2"/>
      </rPr>
      <t>g</t>
    </r>
  </si>
  <si>
    <r>
      <t>Cg (10</t>
    </r>
    <r>
      <rPr>
        <b/>
        <vertAlign val="superscript"/>
        <sz val="12"/>
        <color theme="1"/>
        <rFont val="Century Gothic"/>
        <family val="2"/>
      </rPr>
      <t>-5</t>
    </r>
    <r>
      <rPr>
        <b/>
        <sz val="12"/>
        <color theme="1"/>
        <rFont val="Century Gothic"/>
        <family val="2"/>
      </rPr>
      <t>/psi)</t>
    </r>
  </si>
  <si>
    <r>
      <t>μ</t>
    </r>
    <r>
      <rPr>
        <b/>
        <vertAlign val="subscript"/>
        <sz val="12"/>
        <color theme="1"/>
        <rFont val="Century Gothic"/>
        <family val="2"/>
      </rPr>
      <t>w</t>
    </r>
  </si>
  <si>
    <r>
      <t>C</t>
    </r>
    <r>
      <rPr>
        <b/>
        <vertAlign val="subscript"/>
        <sz val="12"/>
        <color theme="1"/>
        <rFont val="Century Gothic"/>
        <family val="2"/>
      </rPr>
      <t>w</t>
    </r>
    <r>
      <rPr>
        <b/>
        <sz val="12"/>
        <color theme="1"/>
        <rFont val="Century Gothic"/>
        <family val="2"/>
      </rPr>
      <t xml:space="preserve"> (10</t>
    </r>
    <r>
      <rPr>
        <b/>
        <vertAlign val="superscript"/>
        <sz val="12"/>
        <color theme="1"/>
        <rFont val="Century Gothic"/>
        <family val="2"/>
      </rPr>
      <t>-5</t>
    </r>
    <r>
      <rPr>
        <b/>
        <sz val="12"/>
        <color theme="1"/>
        <rFont val="Century Gothic"/>
        <family val="2"/>
      </rPr>
      <t>/psi)</t>
    </r>
  </si>
  <si>
    <r>
      <t>ρ</t>
    </r>
    <r>
      <rPr>
        <b/>
        <vertAlign val="subscript"/>
        <sz val="12"/>
        <color theme="1"/>
        <rFont val="Century Gothic"/>
        <family val="2"/>
      </rPr>
      <t>w</t>
    </r>
  </si>
  <si>
    <t>SELECT GRAPH</t>
  </si>
  <si>
    <t>`</t>
  </si>
  <si>
    <r>
      <rPr>
        <b/>
        <vertAlign val="superscript"/>
        <sz val="16"/>
        <color theme="0"/>
        <rFont val="Century Gothic"/>
        <family val="2"/>
      </rPr>
      <t>o</t>
    </r>
    <r>
      <rPr>
        <b/>
        <sz val="16"/>
        <color theme="0"/>
        <rFont val="Century Gothic"/>
        <family val="2"/>
      </rPr>
      <t>R</t>
    </r>
  </si>
  <si>
    <r>
      <rPr>
        <b/>
        <vertAlign val="superscript"/>
        <sz val="16"/>
        <color theme="0"/>
        <rFont val="Century Gothic"/>
        <family val="2"/>
      </rPr>
      <t>o</t>
    </r>
    <r>
      <rPr>
        <b/>
        <sz val="16"/>
        <color theme="0"/>
        <rFont val="Century Gothic"/>
        <family val="2"/>
      </rPr>
      <t>F</t>
    </r>
  </si>
  <si>
    <r>
      <t>o</t>
    </r>
    <r>
      <rPr>
        <b/>
        <sz val="16"/>
        <color theme="0"/>
        <rFont val="Century Gothic"/>
        <family val="2"/>
      </rPr>
      <t>API</t>
    </r>
  </si>
  <si>
    <r>
      <t>CO</t>
    </r>
    <r>
      <rPr>
        <b/>
        <vertAlign val="subscript"/>
        <sz val="16"/>
        <color theme="0"/>
        <rFont val="Century Gothic"/>
        <family val="2"/>
      </rPr>
      <t>2</t>
    </r>
  </si>
  <si>
    <r>
      <t>H</t>
    </r>
    <r>
      <rPr>
        <b/>
        <vertAlign val="subscript"/>
        <sz val="16"/>
        <color theme="0"/>
        <rFont val="Century Gothic"/>
        <family val="2"/>
      </rPr>
      <t>2</t>
    </r>
    <r>
      <rPr>
        <b/>
        <sz val="16"/>
        <color theme="0"/>
        <rFont val="Century Gothic"/>
        <family val="2"/>
      </rPr>
      <t>S</t>
    </r>
  </si>
  <si>
    <r>
      <t>N</t>
    </r>
    <r>
      <rPr>
        <b/>
        <vertAlign val="subscript"/>
        <sz val="16"/>
        <color theme="0"/>
        <rFont val="Century Gothic"/>
        <family val="2"/>
      </rPr>
      <t>2</t>
    </r>
  </si>
  <si>
    <t>Select Correlation ( μw )</t>
  </si>
  <si>
    <t>Gas Solubillity</t>
  </si>
  <si>
    <t>Oil Formation Volume Factor</t>
  </si>
  <si>
    <t>Oil Viscosity</t>
  </si>
  <si>
    <t>Gas Density</t>
  </si>
  <si>
    <t>Z -Factor</t>
  </si>
  <si>
    <t>Gas Formation Volume Factor</t>
  </si>
  <si>
    <t>Gas Viscosity</t>
  </si>
  <si>
    <t>Isothermal Compresibility Of Oil</t>
  </si>
  <si>
    <t>Isothermal Compresibility of Gas</t>
  </si>
  <si>
    <t>Water Formation Volume Factor</t>
  </si>
  <si>
    <t>Viscosity of Water</t>
  </si>
  <si>
    <t>Isothermal Compresibility of Water</t>
  </si>
  <si>
    <t>Water Density</t>
  </si>
  <si>
    <t>PSEUDOREDUCED PROPERTIES</t>
  </si>
  <si>
    <t>Solubility of Methane In Water</t>
  </si>
  <si>
    <t xml:space="preserve"> </t>
  </si>
  <si>
    <t>Beggs - Robinson's</t>
  </si>
  <si>
    <t>Standard</t>
  </si>
  <si>
    <t>Standard ( McCain)</t>
  </si>
  <si>
    <t>Lee-Gonzalez Eaking</t>
  </si>
  <si>
    <t>Hall - Yarborough</t>
  </si>
  <si>
    <t>CORRELATION</t>
  </si>
  <si>
    <t>Modification of EOS</t>
  </si>
  <si>
    <t>Dranchuk-Purvis-Robinson</t>
  </si>
  <si>
    <t>Peciko,Mahakam Block</t>
  </si>
  <si>
    <t>Aqnan Matthew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</si>
</sst>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00E+00"/>
  </numFmts>
  <fonts count="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theme="7"/>
      <name val="Calibri"/>
      <family val="2"/>
      <scheme val="minor"/>
    </font>
    <font>
      <sz val="14"/>
      <color theme="7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Aharoni"/>
      <charset val="177"/>
    </font>
    <font>
      <sz val="22"/>
      <name val="MS Reference Sans Serif"/>
      <family val="2"/>
    </font>
    <font>
      <sz val="11"/>
      <color theme="7" tint="0.59999389629810485"/>
      <name val="Calibri"/>
      <family val="2"/>
      <scheme val="minor"/>
    </font>
    <font>
      <sz val="14"/>
      <color theme="0"/>
      <name val="MS Reference Sans Serif"/>
      <family val="2"/>
    </font>
    <font>
      <b/>
      <sz val="12"/>
      <color theme="0"/>
      <name val="Century Gothic"/>
      <family val="2"/>
    </font>
    <font>
      <b/>
      <sz val="14"/>
      <color theme="0"/>
      <name val="Aharoni"/>
      <charset val="177"/>
    </font>
    <font>
      <sz val="14"/>
      <color theme="0"/>
      <name val="Calibri"/>
      <family val="2"/>
      <scheme val="minor"/>
    </font>
    <font>
      <b/>
      <sz val="12"/>
      <color indexed="81"/>
      <name val="Tahoma"/>
      <family val="2"/>
    </font>
    <font>
      <sz val="11"/>
      <color theme="1"/>
      <name val="Calibri"/>
      <family val="2"/>
      <charset val="1"/>
      <scheme val="minor"/>
    </font>
    <font>
      <b/>
      <sz val="24"/>
      <color rgb="FFFF0000"/>
      <name val="Century Gothic"/>
      <family val="2"/>
    </font>
    <font>
      <sz val="11"/>
      <color rgb="FFFF0000"/>
      <name val="Century Gothic"/>
      <family val="2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vertAlign val="superscript"/>
      <sz val="12"/>
      <color theme="1"/>
      <name val="Century Gothic"/>
      <family val="2"/>
    </font>
    <font>
      <b/>
      <vertAlign val="subscript"/>
      <sz val="12"/>
      <color rgb="FF000000"/>
      <name val="Century Gothic"/>
      <family val="2"/>
    </font>
    <font>
      <b/>
      <vertAlign val="subscript"/>
      <sz val="12"/>
      <color theme="1"/>
      <name val="Century Gothic"/>
      <family val="2"/>
    </font>
    <font>
      <b/>
      <sz val="11"/>
      <color rgb="FF000000"/>
      <name val="Century Gothic"/>
      <family val="2"/>
    </font>
    <font>
      <b/>
      <sz val="16"/>
      <name val="Century Gothic"/>
      <family val="2"/>
    </font>
    <font>
      <b/>
      <sz val="16"/>
      <color theme="0"/>
      <name val="Century Gothic"/>
      <family val="2"/>
    </font>
    <font>
      <b/>
      <vertAlign val="superscript"/>
      <sz val="16"/>
      <color theme="0"/>
      <name val="Century Gothic"/>
      <family val="2"/>
    </font>
    <font>
      <b/>
      <vertAlign val="subscript"/>
      <sz val="16"/>
      <color theme="0"/>
      <name val="Century Gothic"/>
      <family val="2"/>
    </font>
    <font>
      <b/>
      <sz val="12"/>
      <color indexed="81"/>
      <name val="Century Gothic"/>
      <family val="2"/>
    </font>
    <font>
      <b/>
      <sz val="14"/>
      <color indexed="81"/>
      <name val="Century Gothic"/>
      <family val="2"/>
    </font>
    <font>
      <b/>
      <sz val="14"/>
      <color indexed="81"/>
      <name val="Tahoma"/>
      <family val="2"/>
    </font>
    <font>
      <b/>
      <sz val="14"/>
      <color rgb="FF000000"/>
      <name val="Century Gothic"/>
      <family val="2"/>
    </font>
    <font>
      <b/>
      <sz val="16"/>
      <color rgb="FF000000"/>
      <name val="Century Gothic"/>
      <family val="2"/>
    </font>
    <font>
      <sz val="12"/>
      <color theme="0"/>
      <name val="Century Gothic"/>
      <family val="2"/>
    </font>
    <font>
      <sz val="11"/>
      <color rgb="FFF79646"/>
      <name val="Calibri"/>
      <family val="2"/>
      <scheme val="minor"/>
    </font>
    <font>
      <b/>
      <sz val="12"/>
      <color rgb="FFF79646"/>
      <name val="Century Gothic"/>
      <family val="2"/>
    </font>
    <font>
      <sz val="14"/>
      <name val="MS Reference Sans Serif"/>
      <family val="2"/>
    </font>
    <font>
      <b/>
      <sz val="11"/>
      <color rgb="FFF79646"/>
      <name val="Calibri"/>
      <family val="2"/>
      <scheme val="minor"/>
    </font>
    <font>
      <i/>
      <sz val="11"/>
      <color rgb="FFF79646"/>
      <name val="Calibri"/>
      <family val="2"/>
      <scheme val="minor"/>
    </font>
    <font>
      <sz val="11"/>
      <color rgb="FFF79646"/>
      <name val="Century Gothic"/>
      <family val="2"/>
    </font>
    <font>
      <b/>
      <sz val="12"/>
      <color rgb="FFFF0000"/>
      <name val="Century Gothic"/>
      <family val="2"/>
    </font>
    <font>
      <b/>
      <sz val="16"/>
      <color indexed="81"/>
      <name val="Tahoma"/>
      <family val="2"/>
    </font>
    <font>
      <b/>
      <sz val="15"/>
      <color indexed="81"/>
      <name val="Century Gothic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ck">
        <color rgb="FFFFC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C000"/>
      </bottom>
      <diagonal/>
    </border>
    <border>
      <left style="thick">
        <color rgb="FFFFC000"/>
      </left>
      <right style="thin">
        <color indexed="64"/>
      </right>
      <top style="thin">
        <color indexed="64"/>
      </top>
      <bottom style="thick">
        <color rgb="FFFFC000"/>
      </bottom>
      <diagonal/>
    </border>
    <border>
      <left style="thick">
        <color rgb="FFFFC000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theme="1"/>
      </left>
      <right/>
      <top style="thin">
        <color indexed="64"/>
      </top>
      <bottom/>
      <diagonal/>
    </border>
    <border>
      <left style="thick">
        <color theme="1"/>
      </left>
      <right style="thick">
        <color theme="1"/>
      </right>
      <top style="thin">
        <color theme="1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C000"/>
      </top>
      <bottom/>
      <diagonal/>
    </border>
    <border>
      <left style="thin">
        <color indexed="64"/>
      </left>
      <right/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rgb="FFFFC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4" fillId="0" borderId="0"/>
  </cellStyleXfs>
  <cellXfs count="125">
    <xf numFmtId="0" fontId="0" fillId="0" borderId="0" xfId="0"/>
    <xf numFmtId="0" fontId="0" fillId="6" borderId="0" xfId="0" applyFill="1"/>
    <xf numFmtId="0" fontId="3" fillId="6" borderId="0" xfId="0" applyFont="1" applyFill="1"/>
    <xf numFmtId="0" fontId="3" fillId="3" borderId="0" xfId="0" applyFont="1" applyFill="1"/>
    <xf numFmtId="0" fontId="5" fillId="6" borderId="0" xfId="0" applyFont="1" applyFill="1"/>
    <xf numFmtId="0" fontId="5" fillId="4" borderId="0" xfId="0" applyFont="1" applyFill="1"/>
    <xf numFmtId="0" fontId="7" fillId="4" borderId="0" xfId="0" applyFont="1" applyFill="1"/>
    <xf numFmtId="0" fontId="8" fillId="3" borderId="0" xfId="0" applyFont="1" applyFill="1"/>
    <xf numFmtId="0" fontId="4" fillId="6" borderId="0" xfId="0" applyFont="1" applyFill="1"/>
    <xf numFmtId="0" fontId="9" fillId="4" borderId="0" xfId="0" applyFont="1" applyFill="1"/>
    <xf numFmtId="0" fontId="5" fillId="5" borderId="0" xfId="0" applyFont="1" applyFill="1"/>
    <xf numFmtId="0" fontId="2" fillId="6" borderId="0" xfId="0" applyFont="1" applyFill="1"/>
    <xf numFmtId="0" fontId="12" fillId="6" borderId="0" xfId="0" applyFont="1" applyFill="1"/>
    <xf numFmtId="0" fontId="10" fillId="6" borderId="0" xfId="0" applyFont="1" applyFill="1"/>
    <xf numFmtId="0" fontId="17" fillId="6" borderId="0" xfId="0" applyFont="1" applyFill="1"/>
    <xf numFmtId="0" fontId="24" fillId="4" borderId="2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24" fillId="4" borderId="6" xfId="0" applyFont="1" applyFill="1" applyBorder="1" applyAlignment="1">
      <alignment horizontal="center" vertical="center"/>
    </xf>
    <xf numFmtId="0" fontId="24" fillId="4" borderId="6" xfId="0" applyFont="1" applyFill="1" applyBorder="1" applyAlignment="1">
      <alignment horizontal="center" vertical="center" wrapText="1"/>
    </xf>
    <xf numFmtId="0" fontId="23" fillId="6" borderId="6" xfId="0" applyFont="1" applyFill="1" applyBorder="1" applyAlignment="1">
      <alignment horizontal="center" vertical="center" wrapText="1"/>
    </xf>
    <xf numFmtId="0" fontId="24" fillId="4" borderId="5" xfId="0" applyFont="1" applyFill="1" applyBorder="1" applyAlignment="1">
      <alignment horizontal="center" vertical="center"/>
    </xf>
    <xf numFmtId="0" fontId="24" fillId="6" borderId="0" xfId="0" applyFont="1" applyFill="1" applyAlignment="1">
      <alignment horizontal="left"/>
    </xf>
    <xf numFmtId="0" fontId="24" fillId="6" borderId="0" xfId="0" applyFont="1" applyFill="1"/>
    <xf numFmtId="0" fontId="17" fillId="6" borderId="11" xfId="0" applyFont="1" applyFill="1" applyBorder="1"/>
    <xf numFmtId="0" fontId="17" fillId="6" borderId="0" xfId="0" applyFont="1" applyFill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4" fillId="4" borderId="6" xfId="0" quotePrefix="1" applyFont="1" applyFill="1" applyBorder="1" applyAlignment="1">
      <alignment horizontal="center" vertical="center"/>
    </xf>
    <xf numFmtId="0" fontId="24" fillId="4" borderId="6" xfId="0" quotePrefix="1" applyFont="1" applyFill="1" applyBorder="1" applyAlignment="1">
      <alignment horizontal="center" vertical="center" wrapText="1"/>
    </xf>
    <xf numFmtId="0" fontId="24" fillId="4" borderId="2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left" vertical="center"/>
    </xf>
    <xf numFmtId="0" fontId="17" fillId="6" borderId="18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/>
    </xf>
    <xf numFmtId="0" fontId="24" fillId="4" borderId="22" xfId="0" applyFont="1" applyFill="1" applyBorder="1" applyAlignment="1">
      <alignment horizontal="center" vertical="center"/>
    </xf>
    <xf numFmtId="0" fontId="24" fillId="4" borderId="24" xfId="0" applyFont="1" applyFill="1" applyBorder="1" applyAlignment="1">
      <alignment horizontal="center" vertical="center"/>
    </xf>
    <xf numFmtId="0" fontId="24" fillId="4" borderId="25" xfId="0" applyFont="1" applyFill="1" applyBorder="1" applyAlignment="1">
      <alignment horizontal="center" vertical="center"/>
    </xf>
    <xf numFmtId="0" fontId="24" fillId="4" borderId="25" xfId="0" applyFont="1" applyFill="1" applyBorder="1" applyAlignment="1">
      <alignment horizontal="left" vertical="center"/>
    </xf>
    <xf numFmtId="0" fontId="17" fillId="6" borderId="26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left" vertical="center" wrapText="1"/>
    </xf>
    <xf numFmtId="0" fontId="24" fillId="4" borderId="27" xfId="0" applyFont="1" applyFill="1" applyBorder="1" applyAlignment="1">
      <alignment horizontal="left" vertical="center"/>
    </xf>
    <xf numFmtId="0" fontId="23" fillId="6" borderId="28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17" fillId="6" borderId="18" xfId="0" applyFont="1" applyFill="1" applyBorder="1"/>
    <xf numFmtId="0" fontId="24" fillId="4" borderId="17" xfId="0" applyFont="1" applyFill="1" applyBorder="1" applyAlignment="1">
      <alignment horizontal="center" vertical="center"/>
    </xf>
    <xf numFmtId="0" fontId="24" fillId="4" borderId="29" xfId="0" applyFont="1" applyFill="1" applyBorder="1" applyAlignment="1">
      <alignment horizontal="center" vertical="center"/>
    </xf>
    <xf numFmtId="0" fontId="24" fillId="4" borderId="30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/>
    </xf>
    <xf numFmtId="0" fontId="24" fillId="4" borderId="5" xfId="0" applyFont="1" applyFill="1" applyBorder="1" applyAlignment="1">
      <alignment horizontal="right"/>
    </xf>
    <xf numFmtId="0" fontId="24" fillId="4" borderId="5" xfId="0" applyFont="1" applyFill="1" applyBorder="1"/>
    <xf numFmtId="0" fontId="24" fillId="4" borderId="24" xfId="0" applyFont="1" applyFill="1" applyBorder="1"/>
    <xf numFmtId="0" fontId="17" fillId="6" borderId="16" xfId="0" applyFont="1" applyFill="1" applyBorder="1"/>
    <xf numFmtId="0" fontId="24" fillId="4" borderId="31" xfId="0" applyFont="1" applyFill="1" applyBorder="1" applyAlignment="1">
      <alignment horizontal="center" vertical="center" wrapText="1"/>
    </xf>
    <xf numFmtId="0" fontId="24" fillId="4" borderId="32" xfId="0" applyFont="1" applyFill="1" applyBorder="1" applyAlignment="1">
      <alignment horizontal="center" vertical="center"/>
    </xf>
    <xf numFmtId="0" fontId="24" fillId="4" borderId="23" xfId="0" applyFont="1" applyFill="1" applyBorder="1" applyAlignment="1">
      <alignment horizontal="center" vertical="center"/>
    </xf>
    <xf numFmtId="0" fontId="24" fillId="4" borderId="7" xfId="0" applyFont="1" applyFill="1" applyBorder="1" applyAlignment="1">
      <alignment horizontal="center" vertical="center" wrapText="1"/>
    </xf>
    <xf numFmtId="0" fontId="24" fillId="4" borderId="7" xfId="0" applyFont="1" applyFill="1" applyBorder="1" applyAlignment="1">
      <alignment horizontal="center" vertical="center"/>
    </xf>
    <xf numFmtId="0" fontId="24" fillId="4" borderId="7" xfId="0" quotePrefix="1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 wrapText="1"/>
    </xf>
    <xf numFmtId="0" fontId="24" fillId="4" borderId="7" xfId="0" quotePrefix="1" applyFont="1" applyFill="1" applyBorder="1" applyAlignment="1">
      <alignment horizontal="center" vertical="center" wrapText="1"/>
    </xf>
    <xf numFmtId="0" fontId="17" fillId="6" borderId="34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top"/>
    </xf>
    <xf numFmtId="0" fontId="15" fillId="6" borderId="0" xfId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6" fillId="6" borderId="0" xfId="1" applyFont="1" applyFill="1" applyAlignment="1">
      <alignment horizontal="center"/>
    </xf>
    <xf numFmtId="0" fontId="16" fillId="6" borderId="0" xfId="1" applyFont="1" applyFill="1" applyAlignment="1">
      <alignment horizontal="center" vertical="center"/>
    </xf>
    <xf numFmtId="165" fontId="16" fillId="6" borderId="0" xfId="1" applyNumberFormat="1" applyFont="1" applyFill="1" applyAlignment="1">
      <alignment horizontal="center" vertical="center"/>
    </xf>
    <xf numFmtId="166" fontId="16" fillId="6" borderId="0" xfId="1" applyNumberFormat="1" applyFont="1" applyFill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8" xfId="0" applyFont="1" applyFill="1" applyBorder="1" applyAlignment="1">
      <alignment horizontal="center"/>
    </xf>
    <xf numFmtId="0" fontId="32" fillId="4" borderId="7" xfId="0" applyFont="1" applyFill="1" applyBorder="1" applyAlignment="1">
      <alignment horizontal="center"/>
    </xf>
    <xf numFmtId="0" fontId="32" fillId="4" borderId="7" xfId="0" applyFont="1" applyFill="1" applyBorder="1" applyAlignment="1">
      <alignment horizontal="center" vertical="center"/>
    </xf>
    <xf numFmtId="0" fontId="32" fillId="4" borderId="9" xfId="0" applyFont="1" applyFill="1" applyBorder="1" applyAlignment="1">
      <alignment horizontal="center"/>
    </xf>
    <xf numFmtId="0" fontId="33" fillId="6" borderId="0" xfId="0" applyFont="1" applyFill="1"/>
    <xf numFmtId="0" fontId="34" fillId="6" borderId="0" xfId="0" applyFont="1" applyFill="1" applyAlignment="1">
      <alignment horizontal="center"/>
    </xf>
    <xf numFmtId="0" fontId="33" fillId="6" borderId="0" xfId="0" applyFont="1" applyFill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3" fillId="6" borderId="18" xfId="0" applyFont="1" applyFill="1" applyBorder="1" applyAlignment="1">
      <alignment horizontal="center" vertical="center"/>
    </xf>
    <xf numFmtId="0" fontId="35" fillId="4" borderId="0" xfId="0" applyFont="1" applyFill="1"/>
    <xf numFmtId="0" fontId="24" fillId="4" borderId="12" xfId="0" applyFont="1" applyFill="1" applyBorder="1" applyAlignment="1">
      <alignment horizontal="left" vertical="center"/>
    </xf>
    <xf numFmtId="0" fontId="24" fillId="4" borderId="36" xfId="0" applyFont="1" applyFill="1" applyBorder="1" applyAlignment="1">
      <alignment horizontal="center" vertical="center"/>
    </xf>
    <xf numFmtId="0" fontId="24" fillId="4" borderId="37" xfId="0" applyFont="1" applyFill="1" applyBorder="1" applyAlignment="1">
      <alignment horizontal="left" vertical="center"/>
    </xf>
    <xf numFmtId="0" fontId="37" fillId="6" borderId="0" xfId="0" applyFont="1" applyFill="1"/>
    <xf numFmtId="0" fontId="38" fillId="6" borderId="0" xfId="0" applyFont="1" applyFill="1" applyAlignment="1">
      <alignment horizontal="center"/>
    </xf>
    <xf numFmtId="0" fontId="24" fillId="4" borderId="38" xfId="0" applyFont="1" applyFill="1" applyBorder="1" applyAlignment="1">
      <alignment horizontal="center" vertical="center"/>
    </xf>
    <xf numFmtId="0" fontId="2" fillId="6" borderId="18" xfId="0" applyFont="1" applyFill="1" applyBorder="1"/>
    <xf numFmtId="0" fontId="10" fillId="4" borderId="39" xfId="0" applyFont="1" applyFill="1" applyBorder="1"/>
    <xf numFmtId="0" fontId="10" fillId="4" borderId="39" xfId="0" applyFont="1" applyFill="1" applyBorder="1" applyAlignment="1">
      <alignment horizontal="right" vertical="center"/>
    </xf>
    <xf numFmtId="0" fontId="10" fillId="4" borderId="39" xfId="0" quotePrefix="1" applyFont="1" applyFill="1" applyBorder="1"/>
    <xf numFmtId="0" fontId="2" fillId="4" borderId="39" xfId="0" applyFont="1" applyFill="1" applyBorder="1"/>
    <xf numFmtId="0" fontId="10" fillId="4" borderId="39" xfId="0" applyFont="1" applyFill="1" applyBorder="1" applyAlignment="1">
      <alignment horizontal="right"/>
    </xf>
    <xf numFmtId="0" fontId="39" fillId="2" borderId="39" xfId="0" applyFont="1" applyFill="1" applyBorder="1" applyAlignment="1">
      <alignment horizontal="center" vertical="center"/>
    </xf>
    <xf numFmtId="164" fontId="39" fillId="2" borderId="39" xfId="0" applyNumberFormat="1" applyFont="1" applyFill="1" applyBorder="1" applyAlignment="1">
      <alignment horizontal="center" vertical="center"/>
    </xf>
    <xf numFmtId="0" fontId="39" fillId="2" borderId="39" xfId="0" applyFont="1" applyFill="1" applyBorder="1" applyAlignment="1">
      <alignment horizontal="center"/>
    </xf>
    <xf numFmtId="0" fontId="42" fillId="4" borderId="0" xfId="0" applyFont="1" applyFill="1"/>
    <xf numFmtId="0" fontId="6" fillId="6" borderId="0" xfId="0" applyFont="1" applyFill="1" applyAlignment="1">
      <alignment horizontal="center"/>
    </xf>
    <xf numFmtId="0" fontId="24" fillId="4" borderId="14" xfId="0" applyFont="1" applyFill="1" applyBorder="1" applyAlignment="1">
      <alignment horizontal="right" vertical="center"/>
    </xf>
    <xf numFmtId="0" fontId="24" fillId="4" borderId="10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4" fillId="4" borderId="12" xfId="0" applyFont="1" applyFill="1" applyBorder="1" applyAlignment="1">
      <alignment horizontal="right" vertical="center"/>
    </xf>
    <xf numFmtId="0" fontId="17" fillId="6" borderId="0" xfId="0" applyFont="1" applyFill="1" applyAlignment="1">
      <alignment horizontal="center"/>
    </xf>
    <xf numFmtId="0" fontId="17" fillId="2" borderId="15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1" xfId="0" applyFont="1" applyFill="1" applyBorder="1" applyAlignment="1">
      <alignment horizontal="center" vertical="center"/>
    </xf>
    <xf numFmtId="0" fontId="24" fillId="4" borderId="23" xfId="0" applyFont="1" applyFill="1" applyBorder="1" applyAlignment="1">
      <alignment horizontal="center" vertical="center"/>
    </xf>
    <xf numFmtId="0" fontId="24" fillId="4" borderId="35" xfId="0" applyFont="1" applyFill="1" applyBorder="1" applyAlignment="1">
      <alignment horizontal="center" vertical="center"/>
    </xf>
    <xf numFmtId="0" fontId="24" fillId="4" borderId="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4" fillId="4" borderId="7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23" fillId="2" borderId="20" xfId="0" applyFont="1" applyFill="1" applyBorder="1" applyAlignment="1">
      <alignment horizontal="center" vertical="center" wrapText="1"/>
    </xf>
    <xf numFmtId="0" fontId="23" fillId="2" borderId="15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 wrapText="1"/>
    </xf>
    <xf numFmtId="0" fontId="24" fillId="4" borderId="32" xfId="0" applyFont="1" applyFill="1" applyBorder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top"/>
    </xf>
    <xf numFmtId="0" fontId="10" fillId="4" borderId="39" xfId="0" applyFont="1" applyFill="1" applyBorder="1" applyAlignment="1">
      <alignment horizontal="center"/>
    </xf>
    <xf numFmtId="0" fontId="10" fillId="4" borderId="39" xfId="0" applyFont="1" applyFill="1" applyBorder="1" applyAlignment="1">
      <alignment horizontal="center" vertical="center"/>
    </xf>
    <xf numFmtId="0" fontId="39" fillId="4" borderId="39" xfId="0" applyFont="1" applyFill="1" applyBorder="1" applyAlignment="1">
      <alignment horizontal="center"/>
    </xf>
    <xf numFmtId="0" fontId="16" fillId="6" borderId="0" xfId="1" applyFont="1" applyFill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36" fillId="6" borderId="0" xfId="0" applyFont="1" applyFill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79646"/>
      <color rgb="FFE4E76B"/>
      <color rgb="FFF48CAC"/>
      <color rgb="FFE21EE2"/>
      <color rgb="FFF40C54"/>
      <color rgb="FFFFFF99"/>
      <color rgb="FFFFCC00"/>
      <color rgb="FFF7D865"/>
      <color rgb="FFD2F7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GRAFIK!$C$5</c:f>
          <c:strCache>
            <c:ptCount val="1"/>
            <c:pt idx="0">
              <c:v>μw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GRAFIK!$B$7:$B$42</c:f>
              <c:numCache>
                <c:formatCode>General</c:formatCode>
                <c:ptCount val="36"/>
                <c:pt idx="0">
                  <c:v>3045</c:v>
                </c:pt>
                <c:pt idx="1">
                  <c:v>2960.8248888888888</c:v>
                </c:pt>
                <c:pt idx="2">
                  <c:v>2876.6497777777777</c:v>
                </c:pt>
                <c:pt idx="3">
                  <c:v>2792.4746666666665</c:v>
                </c:pt>
                <c:pt idx="4">
                  <c:v>2708.2995555555553</c:v>
                </c:pt>
                <c:pt idx="5">
                  <c:v>2624.1244444444442</c:v>
                </c:pt>
                <c:pt idx="6">
                  <c:v>2539.949333333333</c:v>
                </c:pt>
                <c:pt idx="7">
                  <c:v>2455.7742222222219</c:v>
                </c:pt>
                <c:pt idx="8">
                  <c:v>2371.5991111111107</c:v>
                </c:pt>
                <c:pt idx="9">
                  <c:v>2287.4239999999995</c:v>
                </c:pt>
                <c:pt idx="10">
                  <c:v>2203.2488888888884</c:v>
                </c:pt>
                <c:pt idx="11">
                  <c:v>2119.0737777777772</c:v>
                </c:pt>
                <c:pt idx="12">
                  <c:v>2034.898666666666</c:v>
                </c:pt>
                <c:pt idx="13">
                  <c:v>1950.7235555555549</c:v>
                </c:pt>
                <c:pt idx="14">
                  <c:v>1866.5484444444437</c:v>
                </c:pt>
                <c:pt idx="15">
                  <c:v>1782.3733333333325</c:v>
                </c:pt>
                <c:pt idx="16">
                  <c:v>1698.1982222222214</c:v>
                </c:pt>
                <c:pt idx="17">
                  <c:v>1614.0231111111102</c:v>
                </c:pt>
                <c:pt idx="18">
                  <c:v>1529.847999999999</c:v>
                </c:pt>
                <c:pt idx="19">
                  <c:v>1445.6728888888879</c:v>
                </c:pt>
                <c:pt idx="20">
                  <c:v>1361.4977777777767</c:v>
                </c:pt>
                <c:pt idx="21">
                  <c:v>1277.3226666666656</c:v>
                </c:pt>
                <c:pt idx="22">
                  <c:v>1193.1475555555544</c:v>
                </c:pt>
                <c:pt idx="23">
                  <c:v>1108.9724444444432</c:v>
                </c:pt>
                <c:pt idx="24">
                  <c:v>1024.7973333333321</c:v>
                </c:pt>
                <c:pt idx="25">
                  <c:v>940.6222222222209</c:v>
                </c:pt>
                <c:pt idx="26">
                  <c:v>856.44711111110973</c:v>
                </c:pt>
                <c:pt idx="27">
                  <c:v>772.27199999999857</c:v>
                </c:pt>
                <c:pt idx="28">
                  <c:v>688.09688888888741</c:v>
                </c:pt>
                <c:pt idx="29">
                  <c:v>603.92177777777624</c:v>
                </c:pt>
                <c:pt idx="30">
                  <c:v>519.74666666666508</c:v>
                </c:pt>
                <c:pt idx="31">
                  <c:v>435.57155555555397</c:v>
                </c:pt>
                <c:pt idx="32">
                  <c:v>351.39644444444286</c:v>
                </c:pt>
                <c:pt idx="33">
                  <c:v>267.22133333333176</c:v>
                </c:pt>
                <c:pt idx="34">
                  <c:v>183.04622222222065</c:v>
                </c:pt>
                <c:pt idx="35">
                  <c:v>98.871111111109542</c:v>
                </c:pt>
              </c:numCache>
            </c:numRef>
          </c:xVal>
          <c:yVal>
            <c:numRef>
              <c:f>GRAFIK!$C$7:$C$42</c:f>
              <c:numCache>
                <c:formatCode>General</c:formatCode>
                <c:ptCount val="36"/>
                <c:pt idx="0">
                  <c:v>0.21410727898642476</c:v>
                </c:pt>
                <c:pt idx="1">
                  <c:v>0.20243345357457507</c:v>
                </c:pt>
                <c:pt idx="2">
                  <c:v>0.19108685899922614</c:v>
                </c:pt>
                <c:pt idx="3">
                  <c:v>0.18006749526037796</c:v>
                </c:pt>
                <c:pt idx="4">
                  <c:v>0.16937536235803063</c:v>
                </c:pt>
                <c:pt idx="5">
                  <c:v>0.15901046029218407</c:v>
                </c:pt>
                <c:pt idx="6">
                  <c:v>0.14897278906283826</c:v>
                </c:pt>
                <c:pt idx="7">
                  <c:v>0.13926234866999326</c:v>
                </c:pt>
                <c:pt idx="8">
                  <c:v>0.12987913911364901</c:v>
                </c:pt>
                <c:pt idx="9">
                  <c:v>0.1208231603938056</c:v>
                </c:pt>
                <c:pt idx="10">
                  <c:v>0.11209441251046288</c:v>
                </c:pt>
                <c:pt idx="11">
                  <c:v>0.10369289546362102</c:v>
                </c:pt>
                <c:pt idx="12">
                  <c:v>9.5618609253279904E-2</c:v>
                </c:pt>
                <c:pt idx="13">
                  <c:v>8.7871553879439596E-2</c:v>
                </c:pt>
                <c:pt idx="14">
                  <c:v>8.0451729342100042E-2</c:v>
                </c:pt>
                <c:pt idx="15">
                  <c:v>7.3359135641261286E-2</c:v>
                </c:pt>
                <c:pt idx="16">
                  <c:v>6.6593772776923299E-2</c:v>
                </c:pt>
                <c:pt idx="17">
                  <c:v>6.0155640749086095E-2</c:v>
                </c:pt>
                <c:pt idx="18">
                  <c:v>5.4044739557749674E-2</c:v>
                </c:pt>
                <c:pt idx="19">
                  <c:v>4.8261069202914043E-2</c:v>
                </c:pt>
                <c:pt idx="20">
                  <c:v>4.2804629684579189E-2</c:v>
                </c:pt>
                <c:pt idx="21">
                  <c:v>3.7675421002745117E-2</c:v>
                </c:pt>
                <c:pt idx="22">
                  <c:v>3.2873443157411815E-2</c:v>
                </c:pt>
                <c:pt idx="23">
                  <c:v>2.8398696148579303E-2</c:v>
                </c:pt>
                <c:pt idx="24">
                  <c:v>2.4251179976247577E-2</c:v>
                </c:pt>
                <c:pt idx="25">
                  <c:v>2.0430894640416624E-2</c:v>
                </c:pt>
                <c:pt idx="26">
                  <c:v>1.6937840141086454E-2</c:v>
                </c:pt>
                <c:pt idx="27">
                  <c:v>1.3772016478257071E-2</c:v>
                </c:pt>
                <c:pt idx="28">
                  <c:v>1.0933423651928467E-2</c:v>
                </c:pt>
                <c:pt idx="29">
                  <c:v>8.4220616621006415E-3</c:v>
                </c:pt>
                <c:pt idx="30">
                  <c:v>6.2379305087735997E-3</c:v>
                </c:pt>
                <c:pt idx="31">
                  <c:v>4.3810301919473393E-3</c:v>
                </c:pt>
                <c:pt idx="32">
                  <c:v>2.8513607116218607E-3</c:v>
                </c:pt>
                <c:pt idx="33">
                  <c:v>1.6489220677971628E-3</c:v>
                </c:pt>
                <c:pt idx="34">
                  <c:v>7.7371426047324584E-4</c:v>
                </c:pt>
                <c:pt idx="35">
                  <c:v>2.2573728965010978E-4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ED-4E91-97E9-C79EE70E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987040"/>
        <c:axId val="-34984864"/>
      </c:scatterChart>
      <c:valAx>
        <c:axId val="-3498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84864"/>
        <c:crosses val="autoZero"/>
        <c:crossBetween val="midCat"/>
      </c:valAx>
      <c:valAx>
        <c:axId val="-349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GRAFIK!$C$6</c:f>
              <c:strCache>
                <c:ptCount val="1"/>
                <c:pt idx="0">
                  <c:v>(cp)</c:v>
                </c:pt>
              </c:strCache>
            </c:strRef>
          </c:tx>
          <c:layout>
            <c:manualLayout>
              <c:xMode val="edge"/>
              <c:yMode val="edge"/>
              <c:x val="2.1681160607891943E-2"/>
              <c:y val="0.415488185894676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8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762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16" fmlaLink="$H$3" fmlaRange="$G$38:$J$52" sel="13" val="7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17</xdr:row>
          <xdr:rowOff>0</xdr:rowOff>
        </xdr:from>
        <xdr:to>
          <xdr:col>8</xdr:col>
          <xdr:colOff>317500</xdr:colOff>
          <xdr:row>18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16</xdr:row>
          <xdr:rowOff>171450</xdr:rowOff>
        </xdr:from>
        <xdr:to>
          <xdr:col>8</xdr:col>
          <xdr:colOff>342900</xdr:colOff>
          <xdr:row>18</xdr:row>
          <xdr:rowOff>107950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entury Gothic"/>
                </a:rPr>
                <a:t>SIGN IN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857250</xdr:colOff>
      <xdr:row>0</xdr:row>
      <xdr:rowOff>0</xdr:rowOff>
    </xdr:from>
    <xdr:ext cx="4467225" cy="606927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76450" y="0"/>
          <a:ext cx="4467225" cy="60692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perspectiveRight"/>
            <a:lightRig rig="threePt" dir="t"/>
          </a:scene3d>
          <a:sp3d extrusionH="57150">
            <a:bevelT h="25400" prst="softRound"/>
          </a:sp3d>
        </a:bodyPr>
        <a:lstStyle/>
        <a:p>
          <a:pPr algn="ctr"/>
          <a:r>
            <a:rPr lang="en-US" sz="5400" b="1" cap="none" spc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PVT</a:t>
          </a:r>
          <a:r>
            <a:rPr lang="en-US" sz="5400" b="1" cap="none" spc="0" baseline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ANALYSIS</a:t>
          </a:r>
          <a:endParaRPr lang="en-US" sz="5400" b="1" cap="none" spc="0">
            <a:ln w="1905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>
    <xdr:from>
      <xdr:col>2</xdr:col>
      <xdr:colOff>885825</xdr:colOff>
      <xdr:row>4</xdr:row>
      <xdr:rowOff>95250</xdr:rowOff>
    </xdr:from>
    <xdr:to>
      <xdr:col>8</xdr:col>
      <xdr:colOff>9525</xdr:colOff>
      <xdr:row>4</xdr:row>
      <xdr:rowOff>95252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V="1">
          <a:off x="2105025" y="857250"/>
          <a:ext cx="4162425" cy="2"/>
        </a:xfrm>
        <a:prstGeom prst="line">
          <a:avLst/>
        </a:prstGeom>
        <a:ln w="38100">
          <a:solidFill>
            <a:srgbClr val="FEC2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312389</xdr:colOff>
      <xdr:row>10</xdr:row>
      <xdr:rowOff>67114</xdr:rowOff>
    </xdr:from>
    <xdr:ext cx="1068735" cy="425694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531589" y="2210239"/>
          <a:ext cx="1068735" cy="42569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905"/>
              <a:solidFill>
                <a:srgbClr val="FFC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w Cen MT Condensed Extra Bold" pitchFamily="34" charset="0"/>
            </a:rPr>
            <a:t>Field</a:t>
          </a:r>
        </a:p>
      </xdr:txBody>
    </xdr:sp>
    <xdr:clientData/>
  </xdr:oneCellAnchor>
  <xdr:oneCellAnchor>
    <xdr:from>
      <xdr:col>2</xdr:col>
      <xdr:colOff>159989</xdr:colOff>
      <xdr:row>12</xdr:row>
      <xdr:rowOff>107448</xdr:rowOff>
    </xdr:from>
    <xdr:ext cx="1830736" cy="425694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379189" y="2431548"/>
          <a:ext cx="1830736" cy="42569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1905"/>
              <a:solidFill>
                <a:srgbClr val="FFC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w Cen MT Condensed Extra Bold" pitchFamily="34" charset="0"/>
              <a:cs typeface="Arabic Typesetting" pitchFamily="66" charset="-78"/>
            </a:rPr>
            <a:t>Engineer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5318</xdr:colOff>
      <xdr:row>1</xdr:row>
      <xdr:rowOff>132114</xdr:rowOff>
    </xdr:from>
    <xdr:ext cx="4467225" cy="606927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61091" y="426523"/>
          <a:ext cx="4467225" cy="60692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perspectiveRight"/>
            <a:lightRig rig="threePt" dir="t"/>
          </a:scene3d>
          <a:sp3d extrusionH="57150">
            <a:bevelT h="25400" prst="softRound"/>
          </a:sp3d>
        </a:bodyPr>
        <a:lstStyle/>
        <a:p>
          <a:pPr algn="ctr"/>
          <a:r>
            <a:rPr lang="en-US" sz="4400" b="1" cap="none" spc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OIL</a:t>
          </a:r>
          <a:r>
            <a:rPr lang="en-US" sz="4400" b="1" cap="none" spc="0" baseline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RESERVOIRS</a:t>
          </a:r>
          <a:endParaRPr lang="en-US" sz="4400" b="1" cap="none" spc="0">
            <a:ln w="1905"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>
    <xdr:from>
      <xdr:col>5</xdr:col>
      <xdr:colOff>398319</xdr:colOff>
      <xdr:row>3</xdr:row>
      <xdr:rowOff>369743</xdr:rowOff>
    </xdr:from>
    <xdr:to>
      <xdr:col>12</xdr:col>
      <xdr:colOff>293544</xdr:colOff>
      <xdr:row>3</xdr:row>
      <xdr:rowOff>369745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5212774" y="1287607"/>
          <a:ext cx="6216361" cy="2"/>
        </a:xfrm>
        <a:prstGeom prst="line">
          <a:avLst/>
        </a:prstGeom>
        <a:ln w="38100">
          <a:solidFill>
            <a:srgbClr val="FEC2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565150</xdr:colOff>
          <xdr:row>14</xdr:row>
          <xdr:rowOff>114300</xdr:rowOff>
        </xdr:from>
        <xdr:to>
          <xdr:col>19</xdr:col>
          <xdr:colOff>755650</xdr:colOff>
          <xdr:row>16</xdr:row>
          <xdr:rowOff>57150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PVT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533400</xdr:colOff>
          <xdr:row>8</xdr:row>
          <xdr:rowOff>19050</xdr:rowOff>
        </xdr:from>
        <xdr:to>
          <xdr:col>19</xdr:col>
          <xdr:colOff>755650</xdr:colOff>
          <xdr:row>9</xdr:row>
          <xdr:rowOff>228600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 PVT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552450</xdr:colOff>
          <xdr:row>11</xdr:row>
          <xdr:rowOff>57150</xdr:rowOff>
        </xdr:from>
        <xdr:to>
          <xdr:col>19</xdr:col>
          <xdr:colOff>793750</xdr:colOff>
          <xdr:row>13</xdr:row>
          <xdr:rowOff>19050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PVT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565150</xdr:colOff>
          <xdr:row>17</xdr:row>
          <xdr:rowOff>209550</xdr:rowOff>
        </xdr:from>
        <xdr:to>
          <xdr:col>19</xdr:col>
          <xdr:colOff>774700</xdr:colOff>
          <xdr:row>19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20</xdr:row>
          <xdr:rowOff>285750</xdr:rowOff>
        </xdr:from>
        <xdr:to>
          <xdr:col>19</xdr:col>
          <xdr:colOff>812800</xdr:colOff>
          <xdr:row>22</xdr:row>
          <xdr:rowOff>228600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SIGN OUT</a:t>
              </a:r>
            </a:p>
            <a:p>
              <a:pPr algn="ctr" rtl="0">
                <a:defRPr sz="1000"/>
              </a:pPr>
              <a:endParaRPr lang="en-US" sz="1600" b="1" i="0" u="none" strike="noStrike" baseline="0">
                <a:solidFill>
                  <a:srgbClr val="000000"/>
                </a:solidFill>
                <a:latin typeface="Century Gothic"/>
              </a:endParaRPr>
            </a:p>
            <a:p>
              <a:pPr algn="ctr" rtl="0">
                <a:defRPr sz="1000"/>
              </a:pPr>
              <a:endParaRPr lang="en-US" sz="1600" b="1" i="0" u="none" strike="noStrike" baseline="0">
                <a:solidFill>
                  <a:srgbClr val="000000"/>
                </a:solidFill>
                <a:latin typeface="Century Gothic"/>
              </a:endParaRPr>
            </a:p>
            <a:p>
              <a:pPr algn="ctr" rtl="0">
                <a:defRPr sz="1000"/>
              </a:pPr>
              <a:endParaRPr lang="en-US" sz="1600" b="1" i="0" u="none" strike="noStrike" baseline="0">
                <a:solidFill>
                  <a:srgbClr val="000000"/>
                </a:solidFill>
                <a:latin typeface="Century Gothic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SIGN OUT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7</xdr:row>
          <xdr:rowOff>31750</xdr:rowOff>
        </xdr:from>
        <xdr:to>
          <xdr:col>13</xdr:col>
          <xdr:colOff>419100</xdr:colOff>
          <xdr:row>9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10</xdr:row>
          <xdr:rowOff>50800</xdr:rowOff>
        </xdr:from>
        <xdr:to>
          <xdr:col>13</xdr:col>
          <xdr:colOff>400050</xdr:colOff>
          <xdr:row>12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PVT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13</xdr:row>
          <xdr:rowOff>50800</xdr:rowOff>
        </xdr:from>
        <xdr:to>
          <xdr:col>13</xdr:col>
          <xdr:colOff>419100</xdr:colOff>
          <xdr:row>15</xdr:row>
          <xdr:rowOff>19050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PVT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423582</xdr:colOff>
      <xdr:row>0</xdr:row>
      <xdr:rowOff>0</xdr:rowOff>
    </xdr:from>
    <xdr:to>
      <xdr:col>11</xdr:col>
      <xdr:colOff>180414</xdr:colOff>
      <xdr:row>4</xdr:row>
      <xdr:rowOff>95252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711725" y="0"/>
          <a:ext cx="8229546" cy="820966"/>
          <a:chOff x="1295400" y="0"/>
          <a:chExt cx="6200775" cy="857252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295400" y="0"/>
            <a:ext cx="6200775" cy="606927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perspectiveRigh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5400" b="1" cap="none" spc="0">
                <a:ln w="1905"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PVT</a:t>
            </a:r>
            <a:r>
              <a:rPr lang="en-US" sz="5400" b="1" cap="none" spc="0" baseline="0">
                <a:ln w="1905"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CALCULATOR</a:t>
            </a:r>
            <a:endParaRPr lang="en-US" sz="5400" b="1" cap="none" spc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 flipV="1">
            <a:off x="1914525" y="857250"/>
            <a:ext cx="4772025" cy="2"/>
          </a:xfrm>
          <a:prstGeom prst="line">
            <a:avLst/>
          </a:prstGeom>
          <a:ln w="38100">
            <a:solidFill>
              <a:srgbClr val="FEC2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312961</xdr:colOff>
      <xdr:row>0</xdr:row>
      <xdr:rowOff>325692</xdr:rowOff>
    </xdr:from>
    <xdr:to>
      <xdr:col>13</xdr:col>
      <xdr:colOff>677713</xdr:colOff>
      <xdr:row>3</xdr:row>
      <xdr:rowOff>104214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7288890" y="325692"/>
          <a:ext cx="6197680" cy="495165"/>
          <a:chOff x="5166388" y="11419"/>
          <a:chExt cx="5553075" cy="626539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5166388" y="11419"/>
            <a:ext cx="5553075" cy="2762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perspectiveRigh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800" b="1" cap="none" spc="0">
                <a:ln w="1905"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PVT</a:t>
            </a:r>
            <a:r>
              <a:rPr lang="en-US" sz="2800" b="1" cap="none" spc="0" baseline="0">
                <a:ln w="1905"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TABLE</a:t>
            </a:r>
          </a:p>
          <a:p>
            <a:pPr algn="ctr"/>
            <a:endParaRPr lang="en-US" sz="2800" b="1" cap="none" spc="0">
              <a:ln w="1905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V="1">
            <a:off x="5525761" y="637956"/>
            <a:ext cx="4772025" cy="2"/>
          </a:xfrm>
          <a:prstGeom prst="line">
            <a:avLst/>
          </a:prstGeom>
          <a:ln w="38100">
            <a:solidFill>
              <a:srgbClr val="FEC2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6</xdr:row>
          <xdr:rowOff>114300</xdr:rowOff>
        </xdr:from>
        <xdr:to>
          <xdr:col>1</xdr:col>
          <xdr:colOff>279400</xdr:colOff>
          <xdr:row>9</xdr:row>
          <xdr:rowOff>19050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3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9</xdr:row>
          <xdr:rowOff>146050</xdr:rowOff>
        </xdr:from>
        <xdr:to>
          <xdr:col>1</xdr:col>
          <xdr:colOff>279400</xdr:colOff>
          <xdr:row>12</xdr:row>
          <xdr:rowOff>12700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3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PVT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12</xdr:row>
          <xdr:rowOff>133350</xdr:rowOff>
        </xdr:from>
        <xdr:to>
          <xdr:col>1</xdr:col>
          <xdr:colOff>260350</xdr:colOff>
          <xdr:row>15</xdr:row>
          <xdr:rowOff>12700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3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PVT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393700</xdr:colOff>
          <xdr:row>6</xdr:row>
          <xdr:rowOff>12700</xdr:rowOff>
        </xdr:from>
        <xdr:to>
          <xdr:col>16</xdr:col>
          <xdr:colOff>438150</xdr:colOff>
          <xdr:row>9</xdr:row>
          <xdr:rowOff>127000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361950</xdr:colOff>
          <xdr:row>14</xdr:row>
          <xdr:rowOff>152400</xdr:rowOff>
        </xdr:from>
        <xdr:to>
          <xdr:col>16</xdr:col>
          <xdr:colOff>431800</xdr:colOff>
          <xdr:row>17</xdr:row>
          <xdr:rowOff>190500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PVT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10</xdr:row>
          <xdr:rowOff>76200</xdr:rowOff>
        </xdr:from>
        <xdr:to>
          <xdr:col>16</xdr:col>
          <xdr:colOff>431800</xdr:colOff>
          <xdr:row>13</xdr:row>
          <xdr:rowOff>171450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entury Gothic"/>
                </a:rPr>
                <a:t>PVT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224118</xdr:colOff>
      <xdr:row>6</xdr:row>
      <xdr:rowOff>24090</xdr:rowOff>
    </xdr:from>
    <xdr:to>
      <xdr:col>14</xdr:col>
      <xdr:colOff>616323</xdr:colOff>
      <xdr:row>28</xdr:row>
      <xdr:rowOff>168087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33618</xdr:colOff>
      <xdr:row>1</xdr:row>
      <xdr:rowOff>139514</xdr:rowOff>
    </xdr:from>
    <xdr:to>
      <xdr:col>14</xdr:col>
      <xdr:colOff>568060</xdr:colOff>
      <xdr:row>4</xdr:row>
      <xdr:rowOff>122143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3454681" y="322077"/>
          <a:ext cx="6320879" cy="530316"/>
          <a:chOff x="5166388" y="11419"/>
          <a:chExt cx="5553075" cy="626539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5166388" y="11419"/>
            <a:ext cx="5553075" cy="2762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8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PVT</a:t>
            </a:r>
            <a:r>
              <a:rPr lang="en-US" sz="2800" b="1" cap="none" spc="0" baseline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 CHARTS</a:t>
            </a:r>
            <a:endParaRPr lang="en-US" sz="28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 flipV="1">
            <a:off x="5525761" y="637956"/>
            <a:ext cx="4772025" cy="2"/>
          </a:xfrm>
          <a:prstGeom prst="line">
            <a:avLst/>
          </a:prstGeom>
          <a:ln w="38100">
            <a:solidFill>
              <a:srgbClr val="FEC2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172571</xdr:colOff>
      <xdr:row>5</xdr:row>
      <xdr:rowOff>145677</xdr:rowOff>
    </xdr:from>
    <xdr:to>
      <xdr:col>3</xdr:col>
      <xdr:colOff>470647</xdr:colOff>
      <xdr:row>9</xdr:row>
      <xdr:rowOff>11205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72571" y="1058490"/>
          <a:ext cx="2433264" cy="595778"/>
          <a:chOff x="172571" y="1098177"/>
          <a:chExt cx="2315136" cy="6275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3" name="Drop Down 5" hidden="1">
                <a:extLst>
                  <a:ext uri="{63B3BB69-23CF-44E3-9099-C40C66FF867C}">
                    <a14:compatExt spid="_x0000_s17413"/>
                  </a:ext>
                  <a:ext uri="{FF2B5EF4-FFF2-40B4-BE49-F238E27FC236}">
                    <a16:creationId xmlns:a16="http://schemas.microsoft.com/office/drawing/2014/main" id="{00000000-0008-0000-0400-000005440000}"/>
                  </a:ext>
                </a:extLst>
              </xdr:cNvPr>
              <xdr:cNvSpPr/>
            </xdr:nvSpPr>
            <xdr:spPr bwMode="auto">
              <a:xfrm>
                <a:off x="172571" y="1458446"/>
                <a:ext cx="2315136" cy="2672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448236" y="1098177"/>
            <a:ext cx="1770528" cy="39220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SELECT</a:t>
            </a:r>
            <a:r>
              <a:rPr lang="en-US" sz="1600" b="1" cap="none" spc="0" baseline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 GRAPH</a:t>
            </a:r>
          </a:p>
          <a:p>
            <a:pPr algn="ctr"/>
            <a:endParaRPr lang="en-US" sz="16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C6:K20"/>
  <sheetViews>
    <sheetView showGridLines="0" zoomScaleNormal="100" workbookViewId="0">
      <selection activeCell="E15" sqref="E15"/>
    </sheetView>
  </sheetViews>
  <sheetFormatPr defaultColWidth="9.1796875" defaultRowHeight="14.5" x14ac:dyDescent="0.35"/>
  <cols>
    <col min="1" max="2" width="9.1796875" style="2"/>
    <col min="3" max="3" width="24.54296875" style="2" customWidth="1"/>
    <col min="4" max="4" width="3.1796875" style="2" customWidth="1"/>
    <col min="5" max="5" width="23.7265625" style="2" customWidth="1"/>
    <col min="6" max="9" width="9.1796875" style="2"/>
    <col min="10" max="10" width="5.54296875" style="2" customWidth="1"/>
    <col min="11" max="16384" width="9.1796875" style="2"/>
  </cols>
  <sheetData>
    <row r="6" spans="3:11" ht="18.5" x14ac:dyDescent="0.45">
      <c r="C6" s="94" t="s">
        <v>38</v>
      </c>
      <c r="D6" s="94"/>
      <c r="E6" s="94"/>
      <c r="F6" s="94"/>
      <c r="G6" s="94"/>
      <c r="H6" s="94"/>
      <c r="I6" s="94"/>
      <c r="K6" s="8"/>
    </row>
    <row r="8" spans="3:11" x14ac:dyDescent="0.35">
      <c r="C8" s="1"/>
      <c r="D8" s="1"/>
      <c r="E8" s="1"/>
      <c r="F8" s="1"/>
      <c r="G8" s="1"/>
      <c r="H8" s="1"/>
      <c r="I8" s="1"/>
    </row>
    <row r="9" spans="3:11" x14ac:dyDescent="0.35">
      <c r="C9" s="4"/>
      <c r="D9" s="4"/>
      <c r="E9" s="4"/>
      <c r="F9" s="4"/>
      <c r="G9" s="4"/>
      <c r="H9" s="4"/>
      <c r="I9" s="4"/>
    </row>
    <row r="10" spans="3:11" x14ac:dyDescent="0.35">
      <c r="C10" s="7"/>
      <c r="D10" s="7"/>
      <c r="E10" s="7"/>
      <c r="F10" s="7"/>
      <c r="G10" s="7"/>
      <c r="H10" s="7"/>
      <c r="I10" s="7"/>
    </row>
    <row r="11" spans="3:11" x14ac:dyDescent="0.35">
      <c r="C11" s="5"/>
      <c r="D11" s="5"/>
      <c r="E11" s="5"/>
      <c r="F11" s="5"/>
      <c r="G11" s="5"/>
      <c r="H11" s="5"/>
      <c r="I11" s="5"/>
    </row>
    <row r="12" spans="3:11" ht="15.75" customHeight="1" x14ac:dyDescent="0.6">
      <c r="C12" s="6" t="s">
        <v>39</v>
      </c>
      <c r="D12" s="9" t="s">
        <v>16</v>
      </c>
      <c r="E12" s="10" t="s">
        <v>127</v>
      </c>
      <c r="F12" s="5"/>
      <c r="G12" s="5"/>
      <c r="H12" s="5"/>
      <c r="I12" s="5"/>
    </row>
    <row r="13" spans="3:11" ht="18.75" customHeight="1" x14ac:dyDescent="0.6">
      <c r="C13" s="6"/>
      <c r="D13" s="6"/>
      <c r="E13" s="5"/>
      <c r="F13" s="5"/>
      <c r="G13" s="5"/>
      <c r="H13" s="5"/>
      <c r="I13" s="5"/>
    </row>
    <row r="14" spans="3:11" ht="16.5" customHeight="1" x14ac:dyDescent="0.6">
      <c r="C14" s="6"/>
      <c r="D14" s="9" t="s">
        <v>16</v>
      </c>
      <c r="E14" s="10" t="s">
        <v>128</v>
      </c>
      <c r="F14" s="5"/>
      <c r="G14" s="5"/>
      <c r="H14" s="5"/>
      <c r="I14" s="5"/>
    </row>
    <row r="15" spans="3:11" ht="18" customHeight="1" x14ac:dyDescent="0.4">
      <c r="C15" s="5"/>
      <c r="D15" s="9"/>
      <c r="E15" s="5"/>
      <c r="F15" s="5"/>
      <c r="G15" s="5"/>
      <c r="H15" s="5"/>
      <c r="I15" s="5"/>
    </row>
    <row r="16" spans="3:11" ht="18.5" x14ac:dyDescent="0.4">
      <c r="C16" s="5"/>
      <c r="D16" s="77" t="s">
        <v>16</v>
      </c>
      <c r="E16" s="5"/>
      <c r="F16" s="5"/>
      <c r="G16" s="5"/>
      <c r="H16" s="5"/>
      <c r="I16" s="5"/>
    </row>
    <row r="17" spans="3:9" x14ac:dyDescent="0.35">
      <c r="C17" s="5"/>
      <c r="D17" s="5"/>
      <c r="E17" s="5"/>
      <c r="F17" s="5"/>
      <c r="G17" s="5"/>
      <c r="H17" s="5"/>
      <c r="I17" s="5"/>
    </row>
    <row r="18" spans="3:9" x14ac:dyDescent="0.35">
      <c r="C18" s="5"/>
      <c r="D18" s="5"/>
      <c r="E18" s="5"/>
      <c r="F18" s="5"/>
      <c r="G18" s="5"/>
      <c r="H18" s="5"/>
      <c r="I18" s="5"/>
    </row>
    <row r="19" spans="3:9" x14ac:dyDescent="0.35">
      <c r="C19" s="5"/>
      <c r="D19" s="5"/>
      <c r="E19" s="5"/>
      <c r="F19" s="5"/>
      <c r="G19" s="5"/>
      <c r="H19" s="5"/>
      <c r="I19" s="93"/>
    </row>
    <row r="20" spans="3:9" x14ac:dyDescent="0.35">
      <c r="C20" s="3"/>
      <c r="D20" s="3"/>
      <c r="E20" s="3"/>
      <c r="F20" s="3"/>
      <c r="G20" s="3"/>
      <c r="H20" s="3"/>
      <c r="I20" s="3"/>
    </row>
  </sheetData>
  <mergeCells count="1">
    <mergeCell ref="C6:I6"/>
  </mergeCells>
  <pageMargins left="0.7" right="0.7" top="0.75" bottom="0.75" header="0.3" footer="0.3"/>
  <pageSetup scale="78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7</xdr:col>
                <xdr:colOff>184150</xdr:colOff>
                <xdr:row>17</xdr:row>
                <xdr:rowOff>0</xdr:rowOff>
              </from>
              <to>
                <xdr:col>8</xdr:col>
                <xdr:colOff>285750</xdr:colOff>
                <xdr:row>18</xdr:row>
                <xdr:rowOff>101600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4" r:id="rId6" name="Button 4">
          <controlPr defaultSize="0" print="0" autoFill="0" autoPict="0" macro="[0]!SIGNIN">
            <anchor moveWithCells="1">
              <from>
                <xdr:col>7</xdr:col>
                <xdr:colOff>171450</xdr:colOff>
                <xdr:row>16</xdr:row>
                <xdr:rowOff>171450</xdr:rowOff>
              </from>
              <to>
                <xdr:col>8</xdr:col>
                <xdr:colOff>342900</xdr:colOff>
                <xdr:row>18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U26"/>
  <sheetViews>
    <sheetView tabSelected="1" topLeftCell="B1" zoomScale="55" zoomScaleNormal="55" workbookViewId="0">
      <selection activeCell="S10" sqref="S10"/>
    </sheetView>
  </sheetViews>
  <sheetFormatPr defaultColWidth="9.1796875" defaultRowHeight="23.15" customHeight="1" x14ac:dyDescent="0.35"/>
  <cols>
    <col min="1" max="1" width="9.1796875" style="14"/>
    <col min="2" max="2" width="3.81640625" style="14" customWidth="1"/>
    <col min="3" max="3" width="40.81640625" style="14" customWidth="1"/>
    <col min="4" max="4" width="9.1796875" style="14"/>
    <col min="5" max="5" width="9.26953125" style="14" bestFit="1" customWidth="1"/>
    <col min="6" max="6" width="14" style="14" customWidth="1"/>
    <col min="7" max="9" width="9.1796875" style="14"/>
    <col min="10" max="10" width="39" style="14" customWidth="1"/>
    <col min="11" max="11" width="3.7265625" style="14" customWidth="1"/>
    <col min="12" max="12" width="11" style="14" bestFit="1" customWidth="1"/>
    <col min="13" max="13" width="7.81640625" style="14" customWidth="1"/>
    <col min="14" max="14" width="11" style="14" bestFit="1" customWidth="1"/>
    <col min="15" max="15" width="9.1796875" style="14"/>
    <col min="16" max="16" width="8.1796875" style="14" customWidth="1"/>
    <col min="17" max="17" width="9.1796875" style="14"/>
    <col min="18" max="18" width="10.453125" style="14" customWidth="1"/>
    <col min="19" max="19" width="9" style="14" customWidth="1"/>
    <col min="20" max="20" width="38.54296875" style="14" customWidth="1"/>
    <col min="21" max="16384" width="9.1796875" style="14"/>
  </cols>
  <sheetData>
    <row r="2" spans="2:21" ht="22.5" customHeight="1" thickBot="1" x14ac:dyDescent="0.4"/>
    <row r="3" spans="2:21" ht="25.5" customHeight="1" thickTop="1" x14ac:dyDescent="0.35">
      <c r="C3" s="21"/>
      <c r="Q3" s="95" t="s">
        <v>42</v>
      </c>
      <c r="R3" s="96"/>
      <c r="S3" s="79" t="s">
        <v>16</v>
      </c>
      <c r="T3" s="80" t="str">
        <f>'SIGN IN'!E12</f>
        <v>Peciko,Mahakam Block</v>
      </c>
      <c r="U3" s="23"/>
    </row>
    <row r="4" spans="2:21" ht="40.5" customHeight="1" thickBot="1" x14ac:dyDescent="0.4">
      <c r="C4" s="22"/>
      <c r="Q4" s="97" t="s">
        <v>41</v>
      </c>
      <c r="R4" s="98"/>
      <c r="S4" s="83" t="s">
        <v>16</v>
      </c>
      <c r="T4" s="78" t="str">
        <f>'SIGN IN'!E14</f>
        <v>Aqnan Matthew</v>
      </c>
      <c r="U4" s="23"/>
    </row>
    <row r="5" spans="2:21" ht="23.15" customHeight="1" thickTop="1" x14ac:dyDescent="0.35">
      <c r="C5" s="21"/>
      <c r="F5" s="99" t="s">
        <v>118</v>
      </c>
      <c r="G5" s="99"/>
      <c r="H5" s="99"/>
      <c r="I5" s="99"/>
      <c r="J5" s="99"/>
      <c r="K5" s="99"/>
      <c r="L5" s="99"/>
      <c r="M5" s="99"/>
    </row>
    <row r="6" spans="2:21" ht="23.15" customHeight="1" x14ac:dyDescent="0.35">
      <c r="C6" s="22"/>
    </row>
    <row r="7" spans="2:21" ht="19.5" customHeight="1" thickBot="1" x14ac:dyDescent="0.4"/>
    <row r="8" spans="2:21" ht="23.15" customHeight="1" thickTop="1" x14ac:dyDescent="0.35">
      <c r="B8" s="24"/>
      <c r="C8" s="103" t="s">
        <v>26</v>
      </c>
      <c r="D8" s="104"/>
      <c r="E8" s="104"/>
      <c r="F8" s="105"/>
      <c r="G8" s="29"/>
      <c r="H8" s="24"/>
      <c r="I8" s="24"/>
      <c r="J8" s="112" t="s">
        <v>27</v>
      </c>
      <c r="K8" s="113"/>
      <c r="L8" s="113"/>
      <c r="M8" s="113"/>
      <c r="N8" s="113"/>
      <c r="O8" s="114"/>
    </row>
    <row r="9" spans="2:21" ht="23.15" customHeight="1" x14ac:dyDescent="0.35">
      <c r="B9" s="24"/>
      <c r="C9" s="33" t="s">
        <v>28</v>
      </c>
      <c r="D9" s="15" t="s">
        <v>0</v>
      </c>
      <c r="E9" s="15">
        <v>3045</v>
      </c>
      <c r="F9" s="28" t="s">
        <v>1</v>
      </c>
      <c r="G9" s="29"/>
      <c r="H9" s="24"/>
      <c r="I9" s="24"/>
      <c r="J9" s="52" t="s">
        <v>6</v>
      </c>
      <c r="K9" s="16">
        <v>1</v>
      </c>
      <c r="L9" s="17" t="s">
        <v>7</v>
      </c>
      <c r="M9" s="26" t="s">
        <v>0</v>
      </c>
      <c r="N9" s="17">
        <f>ppcgas(E12,K9)</f>
        <v>670.18096250000008</v>
      </c>
      <c r="O9" s="25" t="s">
        <v>1</v>
      </c>
      <c r="P9" s="50"/>
    </row>
    <row r="10" spans="2:21" ht="23.15" customHeight="1" x14ac:dyDescent="0.35">
      <c r="B10" s="32"/>
      <c r="C10" s="15" t="s">
        <v>29</v>
      </c>
      <c r="D10" s="15" t="s">
        <v>2</v>
      </c>
      <c r="E10" s="15">
        <v>14.7</v>
      </c>
      <c r="F10" s="30" t="s">
        <v>1</v>
      </c>
      <c r="G10" s="24"/>
      <c r="H10" s="24"/>
      <c r="I10" s="24"/>
      <c r="J10" s="52"/>
      <c r="K10" s="18"/>
      <c r="L10" s="17" t="s">
        <v>8</v>
      </c>
      <c r="M10" s="26" t="s">
        <v>0</v>
      </c>
      <c r="N10" s="17">
        <f>tpcgas(E12,K9)</f>
        <v>380.44698750000003</v>
      </c>
      <c r="O10" s="51" t="s">
        <v>96</v>
      </c>
    </row>
    <row r="11" spans="2:21" ht="23.15" customHeight="1" x14ac:dyDescent="0.35">
      <c r="B11" s="32"/>
      <c r="C11" s="15" t="s">
        <v>30</v>
      </c>
      <c r="D11" s="15" t="s">
        <v>2</v>
      </c>
      <c r="E11" s="15">
        <v>206</v>
      </c>
      <c r="F11" s="28" t="s">
        <v>97</v>
      </c>
      <c r="G11" s="29"/>
      <c r="H11" s="24"/>
      <c r="I11" s="24"/>
      <c r="J11" s="52" t="s">
        <v>9</v>
      </c>
      <c r="K11" s="19">
        <v>1</v>
      </c>
      <c r="L11" s="17" t="s">
        <v>10</v>
      </c>
      <c r="M11" s="26" t="s">
        <v>0</v>
      </c>
      <c r="N11" s="17">
        <f>ppcgaskor(K11,K9,E12,E23,E24,E25)</f>
        <v>679.28896250000003</v>
      </c>
      <c r="O11" s="25" t="s">
        <v>1</v>
      </c>
      <c r="P11" s="50"/>
    </row>
    <row r="12" spans="2:21" ht="23.15" customHeight="1" thickBot="1" x14ac:dyDescent="0.4">
      <c r="B12" s="32"/>
      <c r="C12" s="34" t="s">
        <v>3</v>
      </c>
      <c r="D12" s="35" t="s">
        <v>2</v>
      </c>
      <c r="E12" s="35">
        <v>0.67100000000000004</v>
      </c>
      <c r="F12" s="36"/>
      <c r="G12" s="29"/>
      <c r="H12" s="24"/>
      <c r="I12" s="24"/>
      <c r="J12" s="53"/>
      <c r="K12" s="54"/>
      <c r="L12" s="55" t="s">
        <v>11</v>
      </c>
      <c r="M12" s="56" t="s">
        <v>0</v>
      </c>
      <c r="N12" s="55">
        <f>tpcgaskor(K11,K9,E12,E23,E24,E25)</f>
        <v>376.54758750000002</v>
      </c>
      <c r="O12" s="57" t="s">
        <v>96</v>
      </c>
    </row>
    <row r="13" spans="2:21" ht="23.15" customHeight="1" thickTop="1" thickBot="1" x14ac:dyDescent="0.4">
      <c r="B13" s="24"/>
      <c r="C13" s="24"/>
      <c r="D13" s="24"/>
      <c r="E13" s="24"/>
      <c r="F13" s="31"/>
      <c r="G13" s="24"/>
      <c r="H13" s="24"/>
      <c r="I13" s="24"/>
      <c r="J13" s="24"/>
      <c r="K13" s="31"/>
      <c r="L13" s="31"/>
      <c r="M13" s="31"/>
      <c r="N13" s="31"/>
      <c r="O13" s="31"/>
    </row>
    <row r="14" spans="2:21" ht="23.15" customHeight="1" thickTop="1" thickBot="1" x14ac:dyDescent="0.4">
      <c r="B14" s="24"/>
      <c r="C14" s="24"/>
      <c r="D14" s="24"/>
      <c r="E14" s="24"/>
      <c r="F14" s="24"/>
      <c r="G14" s="24"/>
      <c r="H14" s="24"/>
      <c r="I14" s="32"/>
      <c r="J14" s="113" t="s">
        <v>116</v>
      </c>
      <c r="K14" s="113"/>
      <c r="L14" s="113"/>
      <c r="M14" s="113"/>
      <c r="N14" s="113"/>
      <c r="O14" s="113"/>
      <c r="P14" s="50"/>
    </row>
    <row r="15" spans="2:21" ht="23.15" customHeight="1" thickTop="1" x14ac:dyDescent="0.35">
      <c r="B15" s="24"/>
      <c r="C15" s="103" t="s">
        <v>31</v>
      </c>
      <c r="D15" s="104"/>
      <c r="E15" s="104"/>
      <c r="F15" s="105"/>
      <c r="G15" s="29"/>
      <c r="H15" s="24"/>
      <c r="I15" s="32"/>
      <c r="J15" s="115" t="s">
        <v>12</v>
      </c>
      <c r="K15" s="116"/>
      <c r="L15" s="116"/>
      <c r="M15" s="27" t="s">
        <v>0</v>
      </c>
      <c r="N15" s="108">
        <f>L25/N11</f>
        <v>2.9442551114614939</v>
      </c>
      <c r="O15" s="109"/>
      <c r="P15" s="50"/>
    </row>
    <row r="16" spans="2:21" ht="23.15" customHeight="1" thickBot="1" x14ac:dyDescent="0.4">
      <c r="B16" s="32"/>
      <c r="C16" s="15" t="s">
        <v>32</v>
      </c>
      <c r="D16" s="15" t="s">
        <v>0</v>
      </c>
      <c r="E16" s="15">
        <v>239.7</v>
      </c>
      <c r="F16" s="28" t="s">
        <v>1</v>
      </c>
      <c r="G16" s="29"/>
      <c r="H16" s="24"/>
      <c r="I16" s="32"/>
      <c r="J16" s="106" t="s">
        <v>13</v>
      </c>
      <c r="K16" s="107"/>
      <c r="L16" s="107"/>
      <c r="M16" s="58" t="s">
        <v>0</v>
      </c>
      <c r="N16" s="110">
        <f>(E11+460)/N12</f>
        <v>1.7687007488794493</v>
      </c>
      <c r="O16" s="111"/>
      <c r="P16" s="50"/>
    </row>
    <row r="17" spans="2:15" ht="23.15" customHeight="1" thickTop="1" thickBot="1" x14ac:dyDescent="0.4">
      <c r="B17" s="32"/>
      <c r="C17" s="15" t="s">
        <v>33</v>
      </c>
      <c r="D17" s="15" t="s">
        <v>0</v>
      </c>
      <c r="E17" s="15">
        <v>99</v>
      </c>
      <c r="F17" s="28" t="s">
        <v>97</v>
      </c>
      <c r="G17" s="29"/>
      <c r="H17" s="24"/>
      <c r="I17" s="24"/>
      <c r="J17" s="24"/>
      <c r="K17" s="24"/>
      <c r="L17" s="37"/>
      <c r="M17" s="59"/>
      <c r="N17" s="31"/>
      <c r="O17" s="31"/>
    </row>
    <row r="18" spans="2:15" ht="23.15" customHeight="1" thickTop="1" x14ac:dyDescent="0.35">
      <c r="B18" s="32"/>
      <c r="C18" s="15" t="s">
        <v>4</v>
      </c>
      <c r="D18" s="15" t="s">
        <v>0</v>
      </c>
      <c r="E18" s="15">
        <v>53.6</v>
      </c>
      <c r="F18" s="38" t="s">
        <v>98</v>
      </c>
      <c r="G18" s="29"/>
      <c r="H18" s="24"/>
      <c r="I18" s="32"/>
      <c r="J18" s="100" t="s">
        <v>40</v>
      </c>
      <c r="K18" s="100"/>
      <c r="L18" s="100"/>
      <c r="M18" s="101"/>
      <c r="N18" s="24"/>
      <c r="O18" s="24"/>
    </row>
    <row r="19" spans="2:15" ht="23.15" customHeight="1" x14ac:dyDescent="0.35">
      <c r="B19" s="32"/>
      <c r="C19" s="15" t="s">
        <v>17</v>
      </c>
      <c r="D19" s="15" t="s">
        <v>0</v>
      </c>
      <c r="E19" s="20">
        <v>200</v>
      </c>
      <c r="F19" s="28" t="s">
        <v>5</v>
      </c>
      <c r="G19" s="29"/>
      <c r="H19" s="24"/>
      <c r="I19" s="32"/>
      <c r="J19" s="15" t="s">
        <v>34</v>
      </c>
      <c r="K19" s="15" t="s">
        <v>0</v>
      </c>
      <c r="L19" s="15">
        <v>10000</v>
      </c>
      <c r="M19" s="15" t="s">
        <v>15</v>
      </c>
      <c r="N19" s="29"/>
      <c r="O19" s="24"/>
    </row>
    <row r="20" spans="2:15" ht="23.15" customHeight="1" thickBot="1" x14ac:dyDescent="0.4">
      <c r="B20" s="24"/>
      <c r="C20" s="34" t="s">
        <v>68</v>
      </c>
      <c r="D20" s="41"/>
      <c r="E20" s="40">
        <v>1</v>
      </c>
      <c r="F20" s="39"/>
      <c r="G20" s="29"/>
      <c r="H20" s="24"/>
      <c r="I20" s="24"/>
      <c r="J20" s="45" t="s">
        <v>102</v>
      </c>
      <c r="K20" s="20"/>
      <c r="L20" s="46">
        <v>2</v>
      </c>
      <c r="M20" s="20"/>
      <c r="N20" s="29"/>
      <c r="O20" s="24"/>
    </row>
    <row r="21" spans="2:15" ht="23.15" customHeight="1" thickTop="1" thickBot="1" x14ac:dyDescent="0.4">
      <c r="B21" s="24"/>
      <c r="C21" s="24"/>
      <c r="D21" s="31"/>
      <c r="E21" s="31"/>
      <c r="F21" s="31"/>
      <c r="G21" s="24"/>
      <c r="H21" s="24"/>
      <c r="I21" s="24"/>
      <c r="J21" s="75"/>
      <c r="K21" s="75"/>
      <c r="L21" s="76"/>
      <c r="M21" s="75"/>
      <c r="N21" s="24"/>
      <c r="O21" s="24"/>
    </row>
    <row r="22" spans="2:15" ht="23.15" customHeight="1" thickTop="1" x14ac:dyDescent="0.35">
      <c r="B22" s="24"/>
      <c r="C22" s="103" t="s">
        <v>35</v>
      </c>
      <c r="D22" s="104"/>
      <c r="E22" s="104"/>
      <c r="F22" s="105"/>
      <c r="G22" s="29"/>
      <c r="H22" s="24"/>
      <c r="I22" s="24"/>
      <c r="N22" s="24"/>
      <c r="O22" s="24"/>
    </row>
    <row r="23" spans="2:15" ht="23.15" customHeight="1" thickBot="1" x14ac:dyDescent="0.4">
      <c r="B23" s="24"/>
      <c r="C23" s="33" t="s">
        <v>99</v>
      </c>
      <c r="D23" s="15" t="s">
        <v>0</v>
      </c>
      <c r="E23" s="15">
        <v>2.1240000000000001</v>
      </c>
      <c r="F23" s="15" t="s">
        <v>14</v>
      </c>
      <c r="G23" s="29"/>
      <c r="H23" s="24"/>
      <c r="I23" s="24"/>
      <c r="N23" s="24"/>
      <c r="O23" s="24"/>
    </row>
    <row r="24" spans="2:15" ht="23.15" customHeight="1" thickTop="1" x14ac:dyDescent="0.35">
      <c r="B24" s="32"/>
      <c r="C24" s="33" t="s">
        <v>100</v>
      </c>
      <c r="D24" s="15" t="s">
        <v>0</v>
      </c>
      <c r="E24" s="15">
        <v>0.246</v>
      </c>
      <c r="F24" s="43" t="s">
        <v>14</v>
      </c>
      <c r="G24" s="24"/>
      <c r="H24" s="24"/>
      <c r="I24" s="24"/>
      <c r="J24" s="102" t="s">
        <v>36</v>
      </c>
      <c r="K24" s="100"/>
      <c r="L24" s="100"/>
      <c r="M24" s="101"/>
      <c r="N24" s="24"/>
      <c r="O24" s="24"/>
    </row>
    <row r="25" spans="2:15" ht="23.15" customHeight="1" thickBot="1" x14ac:dyDescent="0.4">
      <c r="B25" s="32"/>
      <c r="C25" s="41" t="s">
        <v>101</v>
      </c>
      <c r="D25" s="35" t="s">
        <v>0</v>
      </c>
      <c r="E25" s="41">
        <v>1.008</v>
      </c>
      <c r="F25" s="44" t="s">
        <v>14</v>
      </c>
      <c r="G25" s="24"/>
      <c r="H25" s="24"/>
      <c r="I25" s="24"/>
      <c r="J25" s="49" t="s">
        <v>37</v>
      </c>
      <c r="K25" s="20" t="s">
        <v>2</v>
      </c>
      <c r="L25" s="48">
        <v>2000</v>
      </c>
      <c r="M25" s="47" t="s">
        <v>1</v>
      </c>
      <c r="N25" s="29"/>
      <c r="O25" s="24"/>
    </row>
    <row r="26" spans="2:15" ht="23.15" customHeight="1" thickTop="1" x14ac:dyDescent="0.35">
      <c r="C26" s="42"/>
      <c r="E26" s="42"/>
      <c r="F26" s="42"/>
      <c r="J26" s="42"/>
      <c r="K26" s="42"/>
      <c r="L26" s="42"/>
      <c r="M26" s="42"/>
    </row>
  </sheetData>
  <mergeCells count="14">
    <mergeCell ref="Q3:R3"/>
    <mergeCell ref="Q4:R4"/>
    <mergeCell ref="F5:M5"/>
    <mergeCell ref="J18:M18"/>
    <mergeCell ref="J24:M24"/>
    <mergeCell ref="C8:F8"/>
    <mergeCell ref="C15:F15"/>
    <mergeCell ref="C22:F22"/>
    <mergeCell ref="J16:L16"/>
    <mergeCell ref="N15:O15"/>
    <mergeCell ref="N16:O16"/>
    <mergeCell ref="J8:O8"/>
    <mergeCell ref="J14:O14"/>
    <mergeCell ref="J15:L1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Button 23">
              <controlPr defaultSize="0" print="0" autoFill="0" autoPict="0" macro="[0]!PVTCHARTS">
                <anchor moveWithCells="1" sizeWithCells="1">
                  <from>
                    <xdr:col>16</xdr:col>
                    <xdr:colOff>565150</xdr:colOff>
                    <xdr:row>14</xdr:row>
                    <xdr:rowOff>114300</xdr:rowOff>
                  </from>
                  <to>
                    <xdr:col>19</xdr:col>
                    <xdr:colOff>755650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5" name="Button 24">
              <controlPr defaultSize="0" print="0" autoFill="0" autoPict="0" macro="[0]!PVTCALCULATOR">
                <anchor moveWithCells="1" sizeWithCells="1">
                  <from>
                    <xdr:col>16</xdr:col>
                    <xdr:colOff>533400</xdr:colOff>
                    <xdr:row>8</xdr:row>
                    <xdr:rowOff>19050</xdr:rowOff>
                  </from>
                  <to>
                    <xdr:col>19</xdr:col>
                    <xdr:colOff>755650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" name="Button 25">
              <controlPr defaultSize="0" print="0" autoFill="0" autoPict="0" macro="[0]!PVTTABLE">
                <anchor moveWithCells="1" sizeWithCells="1">
                  <from>
                    <xdr:col>16</xdr:col>
                    <xdr:colOff>552450</xdr:colOff>
                    <xdr:row>11</xdr:row>
                    <xdr:rowOff>57150</xdr:rowOff>
                  </from>
                  <to>
                    <xdr:col>19</xdr:col>
                    <xdr:colOff>793750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" name="Button 26">
              <controlPr defaultSize="0" print="0" autoFill="0" autoPict="0" macro="[0]!ABOUT">
                <anchor moveWithCells="1" sizeWithCells="1">
                  <from>
                    <xdr:col>16</xdr:col>
                    <xdr:colOff>565150</xdr:colOff>
                    <xdr:row>17</xdr:row>
                    <xdr:rowOff>209550</xdr:rowOff>
                  </from>
                  <to>
                    <xdr:col>19</xdr:col>
                    <xdr:colOff>774700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SIGNOUT">
                <anchor moveWithCells="1" sizeWithCells="1">
                  <from>
                    <xdr:col>16</xdr:col>
                    <xdr:colOff>571500</xdr:colOff>
                    <xdr:row>20</xdr:row>
                    <xdr:rowOff>285750</xdr:rowOff>
                  </from>
                  <to>
                    <xdr:col>19</xdr:col>
                    <xdr:colOff>812800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6:L39"/>
  <sheetViews>
    <sheetView zoomScale="70" zoomScaleNormal="70" workbookViewId="0">
      <selection activeCell="G13" sqref="G13"/>
    </sheetView>
  </sheetViews>
  <sheetFormatPr defaultColWidth="9.1796875" defaultRowHeight="14.5" x14ac:dyDescent="0.35"/>
  <cols>
    <col min="1" max="1" width="9.1796875" style="11" customWidth="1"/>
    <col min="2" max="3" width="9.1796875" style="11"/>
    <col min="4" max="4" width="9.1796875" style="11" customWidth="1"/>
    <col min="5" max="6" width="9.1796875" style="11"/>
    <col min="7" max="7" width="24.1796875" style="11" customWidth="1"/>
    <col min="8" max="8" width="18.1796875" style="11" customWidth="1"/>
    <col min="9" max="9" width="11.81640625" style="11" customWidth="1"/>
    <col min="10" max="10" width="21" style="11" customWidth="1"/>
    <col min="11" max="16384" width="9.1796875" style="11"/>
  </cols>
  <sheetData>
    <row r="6" spans="4:11" ht="18.5" x14ac:dyDescent="0.45">
      <c r="D6" s="117" t="s">
        <v>38</v>
      </c>
      <c r="E6" s="117"/>
      <c r="F6" s="117"/>
      <c r="G6" s="117"/>
      <c r="H6" s="117"/>
      <c r="I6" s="117"/>
      <c r="J6" s="117"/>
      <c r="K6" s="12"/>
    </row>
    <row r="7" spans="4:11" ht="19" thickBot="1" x14ac:dyDescent="0.5">
      <c r="D7" s="60"/>
      <c r="E7" s="60"/>
      <c r="F7" s="60"/>
      <c r="G7" s="60"/>
      <c r="H7" s="60"/>
      <c r="I7" s="60"/>
      <c r="J7" s="60"/>
      <c r="K7" s="12"/>
    </row>
    <row r="8" spans="4:11" ht="17.25" customHeight="1" thickTop="1" thickBot="1" x14ac:dyDescent="0.4">
      <c r="D8" s="85"/>
      <c r="E8" s="85"/>
      <c r="F8" s="85"/>
      <c r="G8" s="85"/>
      <c r="H8" s="85"/>
      <c r="I8" s="85"/>
      <c r="J8" s="85"/>
      <c r="K8" s="13"/>
    </row>
    <row r="9" spans="4:11" ht="16.5" thickTop="1" thickBot="1" x14ac:dyDescent="0.4">
      <c r="D9" s="85"/>
      <c r="E9" s="85"/>
      <c r="F9" s="86" t="s">
        <v>43</v>
      </c>
      <c r="G9" s="90">
        <f>MAIN!L25</f>
        <v>2000</v>
      </c>
      <c r="H9" s="85" t="s">
        <v>44</v>
      </c>
      <c r="I9" s="120" t="s">
        <v>124</v>
      </c>
      <c r="J9" s="120"/>
      <c r="K9" s="13"/>
    </row>
    <row r="10" spans="4:11" ht="16.5" thickTop="1" thickBot="1" x14ac:dyDescent="0.4">
      <c r="D10" s="85"/>
      <c r="E10" s="85"/>
      <c r="F10" s="86" t="s">
        <v>71</v>
      </c>
      <c r="G10" s="91">
        <f>IF(MAIN!E20=1,PbStanding(MAIN!E11,MAIN!E18,MAIN!E12,MAIN!E19),PbVb(MAIN!E11,MAIN!E18,MAIN!E12,MAIN!E19,MAIN!E16,MAIN!E17))</f>
        <v>652.48393642555732</v>
      </c>
      <c r="H10" s="85" t="s">
        <v>44</v>
      </c>
      <c r="I10" s="118" t="str">
        <f>IF(MAIN!$E$20=1,"Standing", "Vasquez-Beggs")</f>
        <v>Standing</v>
      </c>
      <c r="J10" s="118"/>
      <c r="K10" s="13"/>
    </row>
    <row r="11" spans="4:11" ht="16.5" thickTop="1" thickBot="1" x14ac:dyDescent="0.4">
      <c r="D11" s="85"/>
      <c r="E11" s="85"/>
      <c r="F11" s="86" t="s">
        <v>45</v>
      </c>
      <c r="G11" s="91">
        <f>CalcBoil(MAIN!$E$20,MAIN!$E$20,G9,MAIN!$E$11,MAIN!E18,MAIN!E12,G10,MAIN!E16,MAIN!E17)</f>
        <v>1.1341452639131218</v>
      </c>
      <c r="H11" s="85" t="s">
        <v>46</v>
      </c>
      <c r="I11" s="118" t="str">
        <f>IF(MAIN!$E$20=1,"Standing", "Vasquez-Beggs")</f>
        <v>Standing</v>
      </c>
      <c r="J11" s="118"/>
      <c r="K11" s="13"/>
    </row>
    <row r="12" spans="4:11" ht="16.5" thickTop="1" thickBot="1" x14ac:dyDescent="0.4">
      <c r="D12" s="85"/>
      <c r="E12" s="85"/>
      <c r="F12" s="86" t="s">
        <v>47</v>
      </c>
      <c r="G12" s="91">
        <f>CalcRs(MAIN!E20,MAIN!E17,MAIN!E16,MAIN!E12,MAIN!L25,MAIN!E11,MAIN!E18,PVTCALCULATOR!G10)</f>
        <v>0.19998176945970467</v>
      </c>
      <c r="H12" s="85" t="s">
        <v>48</v>
      </c>
      <c r="I12" s="118" t="str">
        <f>IF(MAIN!$E$20=1,"Standing", "Vasquez-Beggs")</f>
        <v>Standing</v>
      </c>
      <c r="J12" s="118"/>
      <c r="K12" s="13"/>
    </row>
    <row r="13" spans="4:11" ht="16.5" thickTop="1" thickBot="1" x14ac:dyDescent="0.4">
      <c r="D13" s="85"/>
      <c r="E13" s="85"/>
      <c r="F13" s="86" t="s">
        <v>49</v>
      </c>
      <c r="G13" s="91">
        <f>CalcBg(G9,MAIN!E11,G17,MAIN!E10)</f>
        <v>1.4917654536016012</v>
      </c>
      <c r="H13" s="85" t="s">
        <v>50</v>
      </c>
      <c r="I13" s="118" t="s">
        <v>120</v>
      </c>
      <c r="J13" s="118"/>
      <c r="K13" s="13"/>
    </row>
    <row r="14" spans="4:11" ht="16.5" thickTop="1" thickBot="1" x14ac:dyDescent="0.4">
      <c r="D14" s="85"/>
      <c r="E14" s="87"/>
      <c r="F14" s="86" t="s">
        <v>51</v>
      </c>
      <c r="G14" s="91">
        <f>CalcBbrine(MAIN!E11,G9)</f>
        <v>1.0381740165276114</v>
      </c>
      <c r="H14" s="85" t="s">
        <v>46</v>
      </c>
      <c r="I14" s="118" t="s">
        <v>121</v>
      </c>
      <c r="J14" s="118"/>
      <c r="K14" s="13"/>
    </row>
    <row r="15" spans="4:11" ht="16.5" thickTop="1" thickBot="1" x14ac:dyDescent="0.4">
      <c r="D15" s="85"/>
      <c r="E15" s="87"/>
      <c r="F15" s="86" t="s">
        <v>52</v>
      </c>
      <c r="G15" s="90">
        <f>Rsw(G9,MAIN!E11,MAIN!L19*10^-4)</f>
        <v>1.0755446844492905E-2</v>
      </c>
      <c r="H15" s="85" t="s">
        <v>53</v>
      </c>
      <c r="I15" s="118" t="s">
        <v>121</v>
      </c>
      <c r="J15" s="118"/>
      <c r="K15" s="13"/>
    </row>
    <row r="16" spans="4:11" ht="16.5" thickTop="1" thickBot="1" x14ac:dyDescent="0.4">
      <c r="D16" s="85"/>
      <c r="E16" s="87"/>
      <c r="F16" s="86" t="s">
        <v>54</v>
      </c>
      <c r="G16" s="91" t="str">
        <f>IF(G9&gt;G10,"UNDER SATURATED","SATURATED")</f>
        <v>UNDER SATURATED</v>
      </c>
      <c r="H16" s="85" t="s">
        <v>55</v>
      </c>
      <c r="I16" s="118"/>
      <c r="J16" s="118"/>
      <c r="K16" s="13"/>
    </row>
    <row r="17" spans="4:12" ht="16.5" thickTop="1" thickBot="1" x14ac:dyDescent="0.4">
      <c r="D17" s="85"/>
      <c r="E17" s="85"/>
      <c r="F17" s="86" t="s">
        <v>56</v>
      </c>
      <c r="G17" s="91">
        <f>calcZ(MAIN!$N$15,MAIN!$N$16)</f>
        <v>0.88973278785946941</v>
      </c>
      <c r="H17" s="85" t="s">
        <v>57</v>
      </c>
      <c r="I17" s="118" t="s">
        <v>123</v>
      </c>
      <c r="J17" s="118"/>
      <c r="K17" s="13"/>
    </row>
    <row r="18" spans="4:12" ht="16.5" thickTop="1" thickBot="1" x14ac:dyDescent="0.4">
      <c r="D18" s="85"/>
      <c r="E18" s="88"/>
      <c r="F18" s="89" t="s">
        <v>85</v>
      </c>
      <c r="G18" s="92">
        <f>CalcDensityOil(MAIN!$E$18,G12,G11,MAIN!E12)</f>
        <v>43.687622829367605</v>
      </c>
      <c r="H18" s="85" t="s">
        <v>58</v>
      </c>
      <c r="I18" s="118" t="s">
        <v>120</v>
      </c>
      <c r="J18" s="118"/>
      <c r="K18" s="13"/>
    </row>
    <row r="19" spans="4:12" ht="16.5" thickTop="1" thickBot="1" x14ac:dyDescent="0.4">
      <c r="D19" s="85"/>
      <c r="E19" s="85"/>
      <c r="F19" s="86" t="s">
        <v>59</v>
      </c>
      <c r="G19" s="91">
        <f>DensGas(G9,MAIN!E11,MAIN!E12,G17)</f>
        <v>6.1123970900346123</v>
      </c>
      <c r="H19" s="85" t="s">
        <v>58</v>
      </c>
      <c r="I19" s="118" t="s">
        <v>125</v>
      </c>
      <c r="J19" s="118"/>
      <c r="K19" s="13"/>
    </row>
    <row r="20" spans="4:12" ht="16.5" thickTop="1" thickBot="1" x14ac:dyDescent="0.4">
      <c r="D20" s="85"/>
      <c r="E20" s="85"/>
      <c r="F20" s="86" t="s">
        <v>60</v>
      </c>
      <c r="G20" s="91">
        <f>brinedensity(MAIN!$L$19*0.0001,MAIN!$E$11,G9)</f>
        <v>60.498724433573365</v>
      </c>
      <c r="H20" s="85" t="s">
        <v>58</v>
      </c>
      <c r="I20" s="118" t="s">
        <v>121</v>
      </c>
      <c r="J20" s="118"/>
      <c r="K20" s="13"/>
      <c r="L20" s="13"/>
    </row>
    <row r="21" spans="4:12" ht="16.5" thickTop="1" thickBot="1" x14ac:dyDescent="0.4">
      <c r="D21" s="85"/>
      <c r="E21" s="85"/>
      <c r="F21" s="86" t="s">
        <v>84</v>
      </c>
      <c r="G21" s="91">
        <f>CalcViscoOil(G10,MAIN!E11,MAIN!E18,G12,MAIN!E12,MAIN!L25)</f>
        <v>0.4227608995180383</v>
      </c>
      <c r="H21" s="85" t="s">
        <v>61</v>
      </c>
      <c r="I21" s="118" t="s">
        <v>119</v>
      </c>
      <c r="J21" s="118"/>
      <c r="K21" s="13"/>
      <c r="L21" s="13"/>
    </row>
    <row r="22" spans="4:12" ht="16.5" thickTop="1" thickBot="1" x14ac:dyDescent="0.4">
      <c r="D22" s="85"/>
      <c r="E22" s="87"/>
      <c r="F22" s="86" t="s">
        <v>62</v>
      </c>
      <c r="G22" s="91">
        <f>CalcViscoGasTes(G19,MAIN!E12,MAIN!E11)</f>
        <v>1.7291489049092543E-2</v>
      </c>
      <c r="H22" s="85" t="s">
        <v>61</v>
      </c>
      <c r="I22" s="118" t="s">
        <v>122</v>
      </c>
      <c r="J22" s="118"/>
      <c r="K22" s="13"/>
    </row>
    <row r="23" spans="4:12" ht="16.5" thickTop="1" thickBot="1" x14ac:dyDescent="0.4">
      <c r="D23" s="85"/>
      <c r="E23" s="87"/>
      <c r="F23" s="86" t="s">
        <v>63</v>
      </c>
      <c r="G23" s="91">
        <f>CalcViscoBrine(MAIN!$L$20,MAIN!L19*0.0001,MAIN!$E$11,G9)</f>
        <v>0.30039455652860436</v>
      </c>
      <c r="H23" s="85" t="s">
        <v>61</v>
      </c>
      <c r="I23" s="119" t="str">
        <f>IF(MAIN!$L$20=1,"Standard (McCain)","Beggs-Brill")</f>
        <v>Beggs-Brill</v>
      </c>
      <c r="J23" s="119"/>
      <c r="K23" s="13"/>
    </row>
    <row r="24" spans="4:12" ht="16.5" thickTop="1" thickBot="1" x14ac:dyDescent="0.4">
      <c r="D24" s="85"/>
      <c r="E24" s="87"/>
      <c r="F24" s="86" t="s">
        <v>64</v>
      </c>
      <c r="G24" s="91">
        <f>(co(G9,MAIN!E11,MAIN!E18,MAIN!E12,PVTCALCULATOR!G10,MAIN!E19,MAIN!E16,MAIN!E18))*100000</f>
        <v>1.4756336287747771</v>
      </c>
      <c r="H24" s="85" t="s">
        <v>65</v>
      </c>
      <c r="I24" s="119" t="s">
        <v>69</v>
      </c>
      <c r="J24" s="119"/>
      <c r="K24" s="13"/>
    </row>
    <row r="25" spans="4:12" ht="16.5" thickTop="1" thickBot="1" x14ac:dyDescent="0.4">
      <c r="D25" s="85"/>
      <c r="E25" s="87"/>
      <c r="F25" s="86" t="s">
        <v>66</v>
      </c>
      <c r="G25" s="91">
        <f>(CalcCg(MAIN!N15,MAIN!N16,MAIN!N11))*10^5</f>
        <v>51.726739185734615</v>
      </c>
      <c r="H25" s="85" t="s">
        <v>65</v>
      </c>
      <c r="I25" s="119" t="s">
        <v>126</v>
      </c>
      <c r="J25" s="119"/>
      <c r="K25" s="13"/>
    </row>
    <row r="26" spans="4:12" ht="16.5" thickTop="1" thickBot="1" x14ac:dyDescent="0.4">
      <c r="D26" s="85"/>
      <c r="E26" s="85"/>
      <c r="F26" s="86" t="s">
        <v>67</v>
      </c>
      <c r="G26" s="91">
        <f>(CalcCw(G9,MAIN!E11))*100000</f>
        <v>0.32076510520000001</v>
      </c>
      <c r="H26" s="85" t="s">
        <v>65</v>
      </c>
      <c r="I26" s="118" t="s">
        <v>121</v>
      </c>
      <c r="J26" s="118"/>
      <c r="K26" s="13"/>
    </row>
    <row r="27" spans="4:12" ht="16" thickTop="1" thickBot="1" x14ac:dyDescent="0.4">
      <c r="D27" s="88"/>
      <c r="E27" s="88"/>
      <c r="F27" s="88"/>
      <c r="G27" s="88"/>
      <c r="H27" s="88"/>
      <c r="I27" s="119"/>
      <c r="J27" s="119"/>
    </row>
    <row r="28" spans="4:12" ht="15" thickTop="1" x14ac:dyDescent="0.35">
      <c r="D28" s="84"/>
      <c r="F28" s="84"/>
      <c r="G28" s="84"/>
      <c r="H28" s="84"/>
      <c r="I28" s="84"/>
      <c r="J28" s="84"/>
    </row>
    <row r="39" spans="3:3" x14ac:dyDescent="0.35">
      <c r="C39" s="11">
        <v>2</v>
      </c>
    </row>
  </sheetData>
  <mergeCells count="20">
    <mergeCell ref="I24:J24"/>
    <mergeCell ref="I25:J25"/>
    <mergeCell ref="I26:J26"/>
    <mergeCell ref="I27:J27"/>
    <mergeCell ref="I9:J9"/>
    <mergeCell ref="I19:J19"/>
    <mergeCell ref="I21:J21"/>
    <mergeCell ref="I23:J23"/>
    <mergeCell ref="I22:J22"/>
    <mergeCell ref="I20:J20"/>
    <mergeCell ref="D6:J6"/>
    <mergeCell ref="I10:J10"/>
    <mergeCell ref="I11:J11"/>
    <mergeCell ref="I12:J12"/>
    <mergeCell ref="I18:J18"/>
    <mergeCell ref="I13:J13"/>
    <mergeCell ref="I14:J14"/>
    <mergeCell ref="I15:J15"/>
    <mergeCell ref="I16:J16"/>
    <mergeCell ref="I17:J17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HOME">
                <anchor moveWithCells="1" sizeWithCells="1">
                  <from>
                    <xdr:col>11</xdr:col>
                    <xdr:colOff>203200</xdr:colOff>
                    <xdr:row>7</xdr:row>
                    <xdr:rowOff>31750</xdr:rowOff>
                  </from>
                  <to>
                    <xdr:col>13</xdr:col>
                    <xdr:colOff>419100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VTTABLE">
                <anchor moveWithCells="1" sizeWithCells="1">
                  <from>
                    <xdr:col>11</xdr:col>
                    <xdr:colOff>203200</xdr:colOff>
                    <xdr:row>10</xdr:row>
                    <xdr:rowOff>50800</xdr:rowOff>
                  </from>
                  <to>
                    <xdr:col>13</xdr:col>
                    <xdr:colOff>400050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VTCHARTS">
                <anchor moveWithCells="1" sizeWithCells="1">
                  <from>
                    <xdr:col>11</xdr:col>
                    <xdr:colOff>190500</xdr:colOff>
                    <xdr:row>13</xdr:row>
                    <xdr:rowOff>50800</xdr:rowOff>
                  </from>
                  <to>
                    <xdr:col>13</xdr:col>
                    <xdr:colOff>419100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75"/>
  <sheetViews>
    <sheetView zoomScale="70" zoomScaleNormal="70" workbookViewId="0">
      <selection activeCell="A9" sqref="A9:XFD9"/>
    </sheetView>
  </sheetViews>
  <sheetFormatPr defaultColWidth="9.1796875" defaultRowHeight="13.5" x14ac:dyDescent="0.25"/>
  <cols>
    <col min="1" max="1" width="26.26953125" style="62" customWidth="1"/>
    <col min="2" max="2" width="7.453125" style="62" customWidth="1"/>
    <col min="3" max="3" width="9.1796875" style="62" customWidth="1"/>
    <col min="4" max="4" width="20.26953125" style="62" customWidth="1"/>
    <col min="5" max="5" width="13.1796875" style="62" customWidth="1"/>
    <col min="6" max="6" width="12.1796875" style="62" customWidth="1"/>
    <col min="7" max="7" width="11.26953125" style="62" customWidth="1"/>
    <col min="8" max="8" width="13.7265625" style="62" customWidth="1"/>
    <col min="9" max="9" width="12.81640625" style="62" customWidth="1"/>
    <col min="10" max="10" width="14.81640625" style="62" customWidth="1"/>
    <col min="11" max="11" width="13.1796875" style="62" customWidth="1"/>
    <col min="12" max="12" width="14.54296875" style="62" customWidth="1"/>
    <col min="13" max="13" width="14.26953125" style="62" customWidth="1"/>
    <col min="14" max="14" width="16" style="62" customWidth="1"/>
    <col min="15" max="15" width="13.26953125" style="62" customWidth="1"/>
    <col min="16" max="16" width="10.7265625" style="62" customWidth="1"/>
    <col min="17" max="17" width="10" style="62" customWidth="1"/>
    <col min="18" max="18" width="16" style="62" customWidth="1"/>
    <col min="19" max="19" width="12.81640625" style="62" customWidth="1"/>
    <col min="20" max="16384" width="9.1796875" style="62"/>
  </cols>
  <sheetData>
    <row r="1" spans="1:19" ht="29" x14ac:dyDescent="0.5">
      <c r="A1" s="61"/>
      <c r="B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3"/>
    </row>
    <row r="2" spans="1:19" x14ac:dyDescent="0.25">
      <c r="A2" s="121"/>
      <c r="B2" s="121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9" x14ac:dyDescent="0.25">
      <c r="A3" s="63"/>
      <c r="B3" s="63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3"/>
      <c r="Q3" s="63"/>
    </row>
    <row r="4" spans="1:19" x14ac:dyDescent="0.25">
      <c r="A4" s="63"/>
      <c r="B4" s="63"/>
      <c r="D4" s="64"/>
      <c r="E4" s="64"/>
      <c r="F4" s="64"/>
      <c r="G4" s="64"/>
      <c r="H4" s="64"/>
      <c r="I4" s="64"/>
      <c r="J4" s="65"/>
      <c r="K4" s="64"/>
      <c r="L4" s="64"/>
      <c r="M4" s="64"/>
      <c r="N4" s="64"/>
      <c r="O4" s="64"/>
      <c r="P4" s="63"/>
      <c r="Q4" s="66"/>
    </row>
    <row r="5" spans="1:19" ht="15" customHeight="1" x14ac:dyDescent="0.25">
      <c r="A5" s="63"/>
      <c r="B5" s="63"/>
      <c r="C5" s="122" t="s">
        <v>25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</row>
    <row r="6" spans="1:19" ht="15" customHeight="1" x14ac:dyDescent="0.25">
      <c r="A6" s="63"/>
      <c r="B6" s="63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</row>
    <row r="7" spans="1:19" ht="15" customHeight="1" x14ac:dyDescent="0.25">
      <c r="A7" s="63" t="s">
        <v>95</v>
      </c>
      <c r="B7" s="6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</row>
    <row r="8" spans="1:19" ht="15" x14ac:dyDescent="0.3">
      <c r="A8" s="63"/>
      <c r="B8" s="63"/>
      <c r="C8" s="67" t="s">
        <v>72</v>
      </c>
      <c r="D8" s="67" t="s">
        <v>73</v>
      </c>
      <c r="E8" s="67" t="s">
        <v>75</v>
      </c>
      <c r="F8" s="67" t="s">
        <v>76</v>
      </c>
      <c r="G8" s="67" t="s">
        <v>77</v>
      </c>
      <c r="H8" s="67" t="s">
        <v>78</v>
      </c>
      <c r="I8" s="67" t="s">
        <v>74</v>
      </c>
      <c r="J8" s="67" t="s">
        <v>74</v>
      </c>
      <c r="K8" s="67" t="s">
        <v>79</v>
      </c>
      <c r="L8" s="67" t="s">
        <v>80</v>
      </c>
      <c r="M8" s="67" t="s">
        <v>77</v>
      </c>
      <c r="N8" s="67" t="s">
        <v>78</v>
      </c>
      <c r="O8" s="67" t="s">
        <v>81</v>
      </c>
      <c r="P8" s="67" t="s">
        <v>76</v>
      </c>
      <c r="Q8" s="67" t="s">
        <v>77</v>
      </c>
      <c r="R8" s="67" t="s">
        <v>78</v>
      </c>
      <c r="S8" s="67" t="s">
        <v>74</v>
      </c>
    </row>
    <row r="9" spans="1:19" ht="18.5" x14ac:dyDescent="0.4">
      <c r="A9" s="63"/>
      <c r="B9" s="63"/>
      <c r="C9" s="68" t="s">
        <v>18</v>
      </c>
      <c r="D9" s="68" t="s">
        <v>82</v>
      </c>
      <c r="E9" s="68" t="s">
        <v>19</v>
      </c>
      <c r="F9" s="68" t="s">
        <v>20</v>
      </c>
      <c r="G9" s="68" t="s">
        <v>83</v>
      </c>
      <c r="H9" s="68" t="s">
        <v>87</v>
      </c>
      <c r="I9" s="68" t="s">
        <v>86</v>
      </c>
      <c r="J9" s="68" t="s">
        <v>88</v>
      </c>
      <c r="K9" s="68" t="s">
        <v>21</v>
      </c>
      <c r="L9" s="68" t="s">
        <v>22</v>
      </c>
      <c r="M9" s="68" t="s">
        <v>89</v>
      </c>
      <c r="N9" s="68" t="s">
        <v>90</v>
      </c>
      <c r="O9" s="68" t="s">
        <v>24</v>
      </c>
      <c r="P9" s="68" t="s">
        <v>23</v>
      </c>
      <c r="Q9" s="68" t="s">
        <v>91</v>
      </c>
      <c r="R9" s="68" t="s">
        <v>92</v>
      </c>
      <c r="S9" s="68" t="s">
        <v>93</v>
      </c>
    </row>
    <row r="10" spans="1:19" ht="16" x14ac:dyDescent="0.35">
      <c r="A10" s="63"/>
      <c r="B10" s="63"/>
      <c r="C10" s="69">
        <f>MAIN!E9</f>
        <v>3045</v>
      </c>
      <c r="D10" s="70" t="str">
        <f>IF(C10&gt;PVTCALCULATOR!$G$10,"Under Saturated","Saturated")</f>
        <v>Under Saturated</v>
      </c>
      <c r="E10" s="69">
        <f>IF(C10&lt;PVTCALCULATOR!$G$10,CalcRs(MAIN!$E$20,MAIN!$E$17,MAIN!$E$16,MAIN!$E$12,TABLE!C10,MAIN!$E$11,MAIN!$E$18,PVTCALCULATOR!$G$10),CalcRs(MAIN!$E$20,MAIN!$E$17,MAIN!$E$16,MAIN!$E$12,TABLE!$C$10,MAIN!$E$11,MAIN!$E$18,PVTCALCULATOR!$G$10))</f>
        <v>0.19998176945970467</v>
      </c>
      <c r="F10" s="69">
        <f>CalcBoil(MAIN!$E$20,MAIN!$E$20,C10,MAIN!$E$11,MAIN!$E$18,MAIN!$E$12,PVTCALCULATOR!$G$10,MAIN!$E$16,MAIN!$E$17)</f>
        <v>1.1304501749952969</v>
      </c>
      <c r="G10" s="69">
        <f>CalcViscoOil(PVTCALCULATOR!$G$10,MAIN!$E$11,MAIN!$E$18,TABLE!E10,MAIN!$E$12,TABLE!C10)</f>
        <v>0.52372391905632398</v>
      </c>
      <c r="H10" s="69">
        <f>(co(C10,MAIN!$E$11,MAIN!$E$18,MAIN!$E$12,PVTCALCULATOR!$G$10,MAIN!$E$19,MAIN!$E$16,MAIN!$E$17))*100000</f>
        <v>0.95724280137125872</v>
      </c>
      <c r="I10" s="69">
        <f>CalcDensityOil(MAIN!$E$18,E10,F10,MAIN!$E$12)</f>
        <v>43.830424037712397</v>
      </c>
      <c r="J10" s="69">
        <f>DensGas(C10,MAIN!$E$11,MAIN!$E$12,K10)</f>
        <v>9.20974744599906</v>
      </c>
      <c r="K10" s="69">
        <f>calcZ(C10/MAIN!$N$11,MAIN!$N$16)</f>
        <v>0.89904356292146637</v>
      </c>
      <c r="L10" s="69">
        <f>CalcBg(C10,MAIN!$E$11,K10,MAIN!$E$10)</f>
        <v>0.99006654320035536</v>
      </c>
      <c r="M10" s="69">
        <f>CalcViscoGasTes(J10,MAIN!$E$12,MAIN!$E$11)</f>
        <v>2.0584994826855843E-2</v>
      </c>
      <c r="N10" s="69">
        <f>(CalcCg(C10/MAIN!$N$11,MAIN!$N$16,MAIN!$N$11))*100000</f>
        <v>29.723510244868297</v>
      </c>
      <c r="O10" s="69">
        <f>Rsw(C10,MAIN!$E$11,MAIN!$L$19*0.0001)</f>
        <v>1.4804931292070797E-2</v>
      </c>
      <c r="P10" s="69">
        <f>CalcBbrine(MAIN!$E$11,C10)</f>
        <v>1.0359141279413879</v>
      </c>
      <c r="Q10" s="69">
        <f>CalcViscoBrine($R$53,MAIN!$L$19*0.0001,MAIN!$E$11,TABLE!C10)</f>
        <v>0.21410727898642476</v>
      </c>
      <c r="R10" s="69">
        <f>(CalcCw(C10,MAIN!$E$11))*100000</f>
        <v>0.31312806964000001</v>
      </c>
      <c r="S10" s="69">
        <f>brinedensity(MAIN!$L$19*0.0001,MAIN!$E$11,C10)</f>
        <v>60.630704848880768</v>
      </c>
    </row>
    <row r="11" spans="1:19" ht="16" x14ac:dyDescent="0.35">
      <c r="A11" s="63"/>
      <c r="B11" s="63"/>
      <c r="C11" s="71">
        <f>C10-(($C$10-14.696)/36)</f>
        <v>2960.8248888888888</v>
      </c>
      <c r="D11" s="70" t="str">
        <f>IF(C11&gt;PVTCALCULATOR!$G$10,"Under Saturated","Saturated")</f>
        <v>Under Saturated</v>
      </c>
      <c r="E11" s="69">
        <f>IF(C11&lt;PVTCALCULATOR!$G$10,CalcRs(MAIN!$E$20,MAIN!$E$17,MAIN!$E$16,MAIN!$E$12,TABLE!C11,MAIN!$E$11,MAIN!$E$18,PVTCALCULATOR!$G$10),CalcRs(MAIN!$E$20,MAIN!$E$17,MAIN!$E$16,MAIN!$E$12,TABLE!$C$10,MAIN!$E$11,MAIN!$E$18,PVTCALCULATOR!$G$10))</f>
        <v>0.19998176945970467</v>
      </c>
      <c r="F11" s="69">
        <f>CalcBoil(MAIN!$E$20,MAIN!$E$20,C11,MAIN!$E$11,MAIN!$E$18,MAIN!$E$12,PVTCALCULATOR!$G$10,MAIN!$E$16,MAIN!$E$17)</f>
        <v>1.1306509174868582</v>
      </c>
      <c r="G11" s="69">
        <f>CalcViscoOil(PVTCALCULATOR!$G$10,MAIN!$E$11,MAIN!$E$18,TABLE!E11,MAIN!$E$12,TABLE!C11)</f>
        <v>0.51441727921183755</v>
      </c>
      <c r="H11" s="69">
        <f>(co(C11,MAIN!$E$11,MAIN!$E$18,MAIN!$E$12,PVTCALCULATOR!$G$10,MAIN!$E$19,MAIN!$E$16,MAIN!$E$17))*100000</f>
        <v>0.98445684549393386</v>
      </c>
      <c r="I11" s="69">
        <f>CalcDensityOil(MAIN!$E$18,E11,F11,MAIN!$E$12)</f>
        <v>43.822642123426171</v>
      </c>
      <c r="J11" s="69">
        <f>DensGas(C11,MAIN!$E$11,MAIN!$E$12,K11)</f>
        <v>8.9805732635719426</v>
      </c>
      <c r="K11" s="69">
        <f>calcZ(C11/MAIN!$N$11,MAIN!$N$16)</f>
        <v>0.89649902680818072</v>
      </c>
      <c r="L11" s="69">
        <f>CalcBg(C11,MAIN!$E$11,K11,MAIN!$E$10)</f>
        <v>1.0153319337191045</v>
      </c>
      <c r="M11" s="69">
        <f>CalcViscoGasTes(J11,MAIN!$E$12,MAIN!$E$11)</f>
        <v>2.0306567047599772E-2</v>
      </c>
      <c r="N11" s="69">
        <f>(CalcCg(C11/MAIN!$N$11,MAIN!$N$16,MAIN!$N$11))*100000</f>
        <v>30.968848171532564</v>
      </c>
      <c r="O11" s="69">
        <f>Rsw(C11,MAIN!$E$11,MAIN!$L$19*0.0001)</f>
        <v>1.4495913763868273E-2</v>
      </c>
      <c r="P11" s="69">
        <f>CalcBbrine(MAIN!$E$11,C11)</f>
        <v>1.0361181293406543</v>
      </c>
      <c r="Q11" s="69">
        <f>CalcViscoBrine($R$53,MAIN!$L$19*0.0001,MAIN!$E$11,TABLE!C11)</f>
        <v>0.20243345357457507</v>
      </c>
      <c r="R11" s="69">
        <f>(CalcCw(C11,MAIN!$E$11))*100000</f>
        <v>0.31374323549341865</v>
      </c>
      <c r="S11" s="69">
        <f>brinedensity(MAIN!$L$19*0.0001,MAIN!$E$11,C11)</f>
        <v>60.618767263505688</v>
      </c>
    </row>
    <row r="12" spans="1:19" ht="16" x14ac:dyDescent="0.35">
      <c r="A12" s="121"/>
      <c r="B12" s="121"/>
      <c r="C12" s="71">
        <f>C11-(($C$10-14.696)/36)</f>
        <v>2876.6497777777777</v>
      </c>
      <c r="D12" s="70" t="str">
        <f>IF(C12&gt;PVTCALCULATOR!$G$10,"Under Saturated","Saturated")</f>
        <v>Under Saturated</v>
      </c>
      <c r="E12" s="69">
        <f>IF(C12&lt;PVTCALCULATOR!$G$10,CalcRs(MAIN!$E$20,MAIN!$E$17,MAIN!$E$16,MAIN!$E$12,TABLE!C12,MAIN!$E$11,MAIN!$E$18,PVTCALCULATOR!$G$10),CalcRs(MAIN!$E$20,MAIN!$E$17,MAIN!$E$16,MAIN!$E$12,TABLE!$C$10,MAIN!$E$11,MAIN!$E$18,PVTCALCULATOR!$G$10))</f>
        <v>0.19998176945970467</v>
      </c>
      <c r="F12" s="69">
        <f>CalcBoil(MAIN!$E$20,MAIN!$E$20,C12,MAIN!$E$11,MAIN!$E$18,MAIN!$E$12,PVTCALCULATOR!$G$10,MAIN!$E$16,MAIN!$E$17)</f>
        <v>1.1308634468723626</v>
      </c>
      <c r="G12" s="69">
        <f>CalcViscoOil(PVTCALCULATOR!$G$10,MAIN!$E$11,MAIN!$E$18,TABLE!E12,MAIN!$E$12,TABLE!C12)</f>
        <v>0.5053115208489295</v>
      </c>
      <c r="H12" s="69">
        <f>(co(C12,MAIN!$E$11,MAIN!$E$18,MAIN!$E$12,PVTCALCULATOR!$G$10,MAIN!$E$19,MAIN!$E$16,MAIN!$E$17))*100000</f>
        <v>1.0132635375680594</v>
      </c>
      <c r="I12" s="69">
        <f>CalcDensityOil(MAIN!$E$18,E12,F12,MAIN!$E$12)</f>
        <v>43.814406293337733</v>
      </c>
      <c r="J12" s="69">
        <f>DensGas(C12,MAIN!$E$11,MAIN!$E$12,K12)</f>
        <v>8.7473397449660304</v>
      </c>
      <c r="K12" s="69">
        <f>calcZ(C12/MAIN!$N$11,MAIN!$N$16)</f>
        <v>0.89423601375347495</v>
      </c>
      <c r="L12" s="69">
        <f>CalcBg(C12,MAIN!$E$11,K12,MAIN!$E$10)</f>
        <v>1.0424041003844648</v>
      </c>
      <c r="M12" s="69">
        <f>CalcViscoGasTes(J12,MAIN!$E$12,MAIN!$E$11)</f>
        <v>2.0029260665607593E-2</v>
      </c>
      <c r="N12" s="69">
        <f>(CalcCg(C12/MAIN!$N$11,MAIN!$N$16,MAIN!$N$11))*100000</f>
        <v>32.285358770949991</v>
      </c>
      <c r="O12" s="69">
        <f>Rsw(C12,MAIN!$E$11,MAIN!$L$19*0.0001)</f>
        <v>1.4183887834255461E-2</v>
      </c>
      <c r="P12" s="69">
        <f>CalcBbrine(MAIN!$E$11,C12)</f>
        <v>1.0363182818796257</v>
      </c>
      <c r="Q12" s="69">
        <f>CalcViscoBrine($R$53,MAIN!$L$19*0.0001,MAIN!$E$11,TABLE!C12)</f>
        <v>0.19108685899922614</v>
      </c>
      <c r="R12" s="69">
        <f>(CalcCw(C12,MAIN!$E$11))*100000</f>
        <v>0.31435840134683735</v>
      </c>
      <c r="S12" s="69">
        <f>brinedensity(MAIN!$L$19*0.0001,MAIN!$E$11,C12)</f>
        <v>60.607059470263728</v>
      </c>
    </row>
    <row r="13" spans="1:19" ht="16" x14ac:dyDescent="0.35">
      <c r="A13" s="63"/>
      <c r="B13" s="63"/>
      <c r="C13" s="71">
        <f t="shared" ref="C13:C29" si="0">C12-(($C$10-14.696)/36)</f>
        <v>2792.4746666666665</v>
      </c>
      <c r="D13" s="70" t="str">
        <f>IF(C13&gt;PVTCALCULATOR!$G$10,"Under Saturated","Saturated")</f>
        <v>Under Saturated</v>
      </c>
      <c r="E13" s="69">
        <f>IF(C13&lt;PVTCALCULATOR!$G$10,CalcRs(MAIN!$E$20,MAIN!$E$17,MAIN!$E$16,MAIN!$E$12,TABLE!C13,MAIN!$E$11,MAIN!$E$18,PVTCALCULATOR!$G$10),CalcRs(MAIN!$E$20,MAIN!$E$17,MAIN!$E$16,MAIN!$E$12,TABLE!$C$10,MAIN!$E$11,MAIN!$E$18,PVTCALCULATOR!$G$10))</f>
        <v>0.19998176945970467</v>
      </c>
      <c r="F13" s="69">
        <f>CalcBoil(MAIN!$E$20,MAIN!$E$20,C13,MAIN!$E$11,MAIN!$E$18,MAIN!$E$12,PVTCALCULATOR!$G$10,MAIN!$E$16,MAIN!$E$17)</f>
        <v>1.1310888326746462</v>
      </c>
      <c r="G13" s="69">
        <f>CalcViscoOil(PVTCALCULATOR!$G$10,MAIN!$E$11,MAIN!$E$18,TABLE!E13,MAIN!$E$12,TABLE!C13)</f>
        <v>0.49640788632198013</v>
      </c>
      <c r="H13" s="69">
        <f>(co(C13,MAIN!$E$11,MAIN!$E$18,MAIN!$E$12,PVTCALCULATOR!$G$10,MAIN!$E$19,MAIN!$E$16,MAIN!$E$17))*100000</f>
        <v>1.0438069018025649</v>
      </c>
      <c r="I13" s="69">
        <f>CalcDensityOil(MAIN!$E$18,E13,F13,MAIN!$E$12)</f>
        <v>43.805675639450314</v>
      </c>
      <c r="J13" s="69">
        <f>DensGas(C13,MAIN!$E$11,MAIN!$E$12,K13)</f>
        <v>8.5100815069001623</v>
      </c>
      <c r="K13" s="69">
        <f>calcZ(C13/MAIN!$N$11,MAIN!$N$16)</f>
        <v>0.89227080279347426</v>
      </c>
      <c r="L13" s="69">
        <f>CalcBg(C13,MAIN!$E$11,K13,MAIN!$E$10)</f>
        <v>1.0714659795226755</v>
      </c>
      <c r="M13" s="69">
        <f>CalcViscoGasTes(J13,MAIN!$E$12,MAIN!$E$11)</f>
        <v>1.9753327605067972E-2</v>
      </c>
      <c r="N13" s="69">
        <f>(CalcCg(C13/MAIN!$N$11,MAIN!$N$16,MAIN!$N$11))*100000</f>
        <v>33.677809782277791</v>
      </c>
      <c r="O13" s="69">
        <f>Rsw(C13,MAIN!$E$11,MAIN!$L$19*0.0001)</f>
        <v>1.3868853503232357E-2</v>
      </c>
      <c r="P13" s="69">
        <f>CalcBbrine(MAIN!$E$11,C13)</f>
        <v>1.036514585558302</v>
      </c>
      <c r="Q13" s="69">
        <f>CalcViscoBrine($R$53,MAIN!$L$19*0.0001,MAIN!$E$11,TABLE!C13)</f>
        <v>0.18006749526037796</v>
      </c>
      <c r="R13" s="69">
        <f>(CalcCw(C13,MAIN!$E$11))*100000</f>
        <v>0.31497356720025599</v>
      </c>
      <c r="S13" s="69">
        <f>brinedensity(MAIN!$L$19*0.0001,MAIN!$E$11,C13)</f>
        <v>60.595581205612625</v>
      </c>
    </row>
    <row r="14" spans="1:19" ht="16" x14ac:dyDescent="0.35">
      <c r="A14" s="63"/>
      <c r="B14" s="63"/>
      <c r="C14" s="71">
        <f t="shared" si="0"/>
        <v>2708.2995555555553</v>
      </c>
      <c r="D14" s="70" t="str">
        <f>IF(C14&gt;PVTCALCULATOR!$G$10,"Under Saturated","Saturated")</f>
        <v>Under Saturated</v>
      </c>
      <c r="E14" s="69">
        <f>IF(C14&lt;PVTCALCULATOR!$G$10,CalcRs(MAIN!$E$20,MAIN!$E$17,MAIN!$E$16,MAIN!$E$12,TABLE!C14,MAIN!$E$11,MAIN!$E$18,PVTCALCULATOR!$G$10),CalcRs(MAIN!$E$20,MAIN!$E$17,MAIN!$E$16,MAIN!$E$12,TABLE!$C$10,MAIN!$E$11,MAIN!$E$18,PVTCALCULATOR!$G$10))</f>
        <v>0.19998176945970467</v>
      </c>
      <c r="F14" s="69">
        <f>CalcBoil(MAIN!$E$20,MAIN!$E$20,C14,MAIN!$E$11,MAIN!$E$18,MAIN!$E$12,PVTCALCULATOR!$G$10,MAIN!$E$16,MAIN!$E$17)</f>
        <v>1.1313282778473734</v>
      </c>
      <c r="G14" s="69">
        <f>CalcViscoOil(PVTCALCULATOR!$G$10,MAIN!$E$11,MAIN!$E$18,TABLE!E14,MAIN!$E$12,TABLE!C14)</f>
        <v>0.48770765100880437</v>
      </c>
      <c r="H14" s="69">
        <f>(co(C14,MAIN!$E$11,MAIN!$E$18,MAIN!$E$12,PVTCALCULATOR!$G$10,MAIN!$E$19,MAIN!$E$16,MAIN!$E$17))*100000</f>
        <v>1.0762488677429802</v>
      </c>
      <c r="I14" s="69">
        <f>CalcDensityOil(MAIN!$E$18,E14,F14,MAIN!$E$12)</f>
        <v>43.796404185907335</v>
      </c>
      <c r="J14" s="69">
        <f>DensGas(C14,MAIN!$E$11,MAIN!$E$12,K14)</f>
        <v>8.2689237867861518</v>
      </c>
      <c r="K14" s="69">
        <f>calcZ(C14/MAIN!$N$11,MAIN!$N$16)</f>
        <v>0.89061266996825794</v>
      </c>
      <c r="L14" s="69">
        <f>CalcBg(C14,MAIN!$E$11,K14,MAIN!$E$10)</f>
        <v>1.1027145796384883</v>
      </c>
      <c r="M14" s="69">
        <f>CalcViscoGasTes(J14,MAIN!$E$12,MAIN!$E$11)</f>
        <v>1.9479116382351971E-2</v>
      </c>
      <c r="N14" s="69">
        <f>(CalcCg(C14/MAIN!$N$11,MAIN!$N$16,MAIN!$N$11))*100000</f>
        <v>35.151241523243449</v>
      </c>
      <c r="O14" s="69">
        <f>Rsw(C14,MAIN!$E$11,MAIN!$L$19*0.0001)</f>
        <v>1.355081077079897E-2</v>
      </c>
      <c r="P14" s="69">
        <f>CalcBbrine(MAIN!$E$11,C14)</f>
        <v>1.0367070403766832</v>
      </c>
      <c r="Q14" s="69">
        <f>CalcViscoBrine($R$53,MAIN!$L$19*0.0001,MAIN!$E$11,TABLE!C14)</f>
        <v>0.16937536235803063</v>
      </c>
      <c r="R14" s="69">
        <f>(CalcCw(C14,MAIN!$E$11))*100000</f>
        <v>0.31558873305367463</v>
      </c>
      <c r="S14" s="69">
        <f>brinedensity(MAIN!$L$19*0.0001,MAIN!$E$11,C14)</f>
        <v>60.584332211324529</v>
      </c>
    </row>
    <row r="15" spans="1:19" ht="16" x14ac:dyDescent="0.35">
      <c r="A15" s="63"/>
      <c r="B15" s="63"/>
      <c r="C15" s="71">
        <f t="shared" si="0"/>
        <v>2624.1244444444442</v>
      </c>
      <c r="D15" s="70" t="str">
        <f>IF(C15&gt;PVTCALCULATOR!$G$10,"Under Saturated","Saturated")</f>
        <v>Under Saturated</v>
      </c>
      <c r="E15" s="69">
        <f>IF(C15&lt;PVTCALCULATOR!$G$10,CalcRs(MAIN!$E$20,MAIN!$E$17,MAIN!$E$16,MAIN!$E$12,TABLE!C15,MAIN!$E$11,MAIN!$E$18,PVTCALCULATOR!$G$10),CalcRs(MAIN!$E$20,MAIN!$E$17,MAIN!$E$16,MAIN!$E$12,TABLE!$C$10,MAIN!$E$11,MAIN!$E$18,PVTCALCULATOR!$G$10))</f>
        <v>0.19998176945970467</v>
      </c>
      <c r="F15" s="69">
        <f>CalcBoil(MAIN!$E$20,MAIN!$E$20,C15,MAIN!$E$11,MAIN!$E$18,MAIN!$E$12,PVTCALCULATOR!$G$10,MAIN!$E$16,MAIN!$E$17)</f>
        <v>1.1315831402529237</v>
      </c>
      <c r="G15" s="69">
        <f>CalcViscoOil(PVTCALCULATOR!$G$10,MAIN!$E$11,MAIN!$E$18,TABLE!E15,MAIN!$E$12,TABLE!C15)</f>
        <v>0.47921213851472194</v>
      </c>
      <c r="H15" s="69">
        <f>(co(C15,MAIN!$E$11,MAIN!$E$18,MAIN!$E$12,PVTCALCULATOR!$G$10,MAIN!$E$19,MAIN!$E$16,MAIN!$E$17))*100000</f>
        <v>1.1107721420553966</v>
      </c>
      <c r="I15" s="69">
        <f>CalcDensityOil(MAIN!$E$18,E15,F15,MAIN!$E$12)</f>
        <v>43.786540079127896</v>
      </c>
      <c r="J15" s="69">
        <f>DensGas(C15,MAIN!$E$11,MAIN!$E$12,K15)</f>
        <v>8.0240176190550052</v>
      </c>
      <c r="K15" s="69">
        <f>calcZ(C15/MAIN!$N$11,MAIN!$N$16)</f>
        <v>0.88927014667596849</v>
      </c>
      <c r="L15" s="69">
        <f>CalcBg(C15,MAIN!$E$11,K15,MAIN!$E$10)</f>
        <v>1.136371235770349</v>
      </c>
      <c r="M15" s="69">
        <f>CalcViscoGasTes(J15,MAIN!$E$12,MAIN!$E$11)</f>
        <v>1.9206989395548862E-2</v>
      </c>
      <c r="N15" s="69">
        <f>(CalcCg(C15/MAIN!$N$11,MAIN!$N$16,MAIN!$N$11))*100000</f>
        <v>36.711183742256885</v>
      </c>
      <c r="O15" s="69">
        <f>Rsw(C15,MAIN!$E$11,MAIN!$L$19*0.0001)</f>
        <v>1.3229759636955286E-2</v>
      </c>
      <c r="P15" s="69">
        <f>CalcBbrine(MAIN!$E$11,C15)</f>
        <v>1.0368956463347692</v>
      </c>
      <c r="Q15" s="69">
        <f>CalcViscoBrine($R$53,MAIN!$L$19*0.0001,MAIN!$E$11,TABLE!C15)</f>
        <v>0.15901046029218407</v>
      </c>
      <c r="R15" s="69">
        <f>(CalcCw(C15,MAIN!$E$11))*100000</f>
        <v>0.31620389890709333</v>
      </c>
      <c r="S15" s="69">
        <f>brinedensity(MAIN!$L$19*0.0001,MAIN!$E$11,C15)</f>
        <v>60.573312234471402</v>
      </c>
    </row>
    <row r="16" spans="1:19" ht="16" x14ac:dyDescent="0.35">
      <c r="A16" s="63"/>
      <c r="B16" s="63"/>
      <c r="C16" s="71">
        <f t="shared" si="0"/>
        <v>2539.949333333333</v>
      </c>
      <c r="D16" s="70" t="str">
        <f>IF(C16&gt;PVTCALCULATOR!$G$10,"Under Saturated","Saturated")</f>
        <v>Under Saturated</v>
      </c>
      <c r="E16" s="69">
        <f>IF(C16&lt;PVTCALCULATOR!$G$10,CalcRs(MAIN!$E$20,MAIN!$E$17,MAIN!$E$16,MAIN!$E$12,TABLE!C16,MAIN!$E$11,MAIN!$E$18,PVTCALCULATOR!$G$10),CalcRs(MAIN!$E$20,MAIN!$E$17,MAIN!$E$16,MAIN!$E$12,TABLE!$C$10,MAIN!$E$11,MAIN!$E$18,PVTCALCULATOR!$G$10))</f>
        <v>0.19998176945970467</v>
      </c>
      <c r="F16" s="69">
        <f>CalcBoil(MAIN!$E$20,MAIN!$E$20,C16,MAIN!$E$11,MAIN!$E$18,MAIN!$E$12,PVTCALCULATOR!$G$10,MAIN!$E$16,MAIN!$E$17)</f>
        <v>1.1318549584269217</v>
      </c>
      <c r="G16" s="69">
        <f>CalcViscoOil(PVTCALCULATOR!$G$10,MAIN!$E$11,MAIN!$E$18,TABLE!E16,MAIN!$E$12,TABLE!C16)</f>
        <v>0.47092273761261527</v>
      </c>
      <c r="H16" s="69">
        <f>(co(C16,MAIN!$E$11,MAIN!$E$18,MAIN!$E$12,PVTCALCULATOR!$G$10,MAIN!$E$19,MAIN!$E$16,MAIN!$E$17))*100000</f>
        <v>1.147583651344023</v>
      </c>
      <c r="I16" s="69">
        <f>CalcDensityOil(MAIN!$E$18,E16,F16,MAIN!$E$12)</f>
        <v>43.776024617512086</v>
      </c>
      <c r="J16" s="69">
        <f>DensGas(C16,MAIN!$E$11,MAIN!$E$12,K16)</f>
        <v>7.7755400998499011</v>
      </c>
      <c r="K16" s="69">
        <f>calcZ(C16/MAIN!$N$11,MAIN!$N$16)</f>
        <v>0.88825088287755993</v>
      </c>
      <c r="L16" s="69">
        <f>CalcBg(C16,MAIN!$E$11,K16,MAIN!$E$10)</f>
        <v>1.1726854598543717</v>
      </c>
      <c r="M16" s="69">
        <f>CalcViscoGasTes(J16,MAIN!$E$12,MAIN!$E$11)</f>
        <v>1.893732019826138E-2</v>
      </c>
      <c r="N16" s="69">
        <f>(CalcCg(C16/MAIN!$N$11,MAIN!$N$16,MAIN!$N$11))*100000</f>
        <v>38.363761665495666</v>
      </c>
      <c r="O16" s="69">
        <f>Rsw(C16,MAIN!$E$11,MAIN!$L$19*0.0001)</f>
        <v>1.2905700101701317E-2</v>
      </c>
      <c r="P16" s="69">
        <f>CalcBbrine(MAIN!$E$11,C16)</f>
        <v>1.0370804034325602</v>
      </c>
      <c r="Q16" s="69">
        <f>CalcViscoBrine($R$53,MAIN!$L$19*0.0001,MAIN!$E$11,TABLE!C16)</f>
        <v>0.14897278906283826</v>
      </c>
      <c r="R16" s="69">
        <f>(CalcCw(C16,MAIN!$E$11))*100000</f>
        <v>0.31681906476051197</v>
      </c>
      <c r="S16" s="69">
        <f>brinedensity(MAIN!$L$19*0.0001,MAIN!$E$11,C16)</f>
        <v>60.562521027410703</v>
      </c>
    </row>
    <row r="17" spans="1:19" ht="16" x14ac:dyDescent="0.35">
      <c r="A17" s="63"/>
      <c r="B17" s="63"/>
      <c r="C17" s="71">
        <f t="shared" si="0"/>
        <v>2455.7742222222219</v>
      </c>
      <c r="D17" s="70" t="str">
        <f>IF(C17&gt;PVTCALCULATOR!$G$10,"Under Saturated","Saturated")</f>
        <v>Under Saturated</v>
      </c>
      <c r="E17" s="69">
        <f>IF(C17&lt;PVTCALCULATOR!$G$10,CalcRs(MAIN!$E$20,MAIN!$E$17,MAIN!$E$16,MAIN!$E$12,TABLE!C17,MAIN!$E$11,MAIN!$E$18,PVTCALCULATOR!$G$10),CalcRs(MAIN!$E$20,MAIN!$E$17,MAIN!$E$16,MAIN!$E$12,TABLE!$C$10,MAIN!$E$11,MAIN!$E$18,PVTCALCULATOR!$G$10))</f>
        <v>0.19998176945970467</v>
      </c>
      <c r="F17" s="69">
        <f>CalcBoil(MAIN!$E$20,MAIN!$E$20,C17,MAIN!$E$11,MAIN!$E$18,MAIN!$E$12,PVTCALCULATOR!$G$10,MAIN!$E$16,MAIN!$E$17)</f>
        <v>1.1321454826618893</v>
      </c>
      <c r="G17" s="69">
        <f>CalcViscoOil(PVTCALCULATOR!$G$10,MAIN!$E$11,MAIN!$E$18,TABLE!E17,MAIN!$E$12,TABLE!C17)</f>
        <v>0.46284092118126113</v>
      </c>
      <c r="H17" s="69">
        <f>(co(C17,MAIN!$E$11,MAIN!$E$18,MAIN!$E$12,PVTCALCULATOR!$G$10,MAIN!$E$19,MAIN!$E$16,MAIN!$E$17))*100000</f>
        <v>1.1869186930131901</v>
      </c>
      <c r="I17" s="69">
        <f>CalcDensityOil(MAIN!$E$18,E17,F17,MAIN!$E$12)</f>
        <v>43.764791082373101</v>
      </c>
      <c r="J17" s="69">
        <f>DensGas(C17,MAIN!$E$11,MAIN!$E$12,K17)</f>
        <v>7.5236941599300149</v>
      </c>
      <c r="K17" s="69">
        <f>calcZ(C17/MAIN!$N$11,MAIN!$N$16)</f>
        <v>0.88756151567405139</v>
      </c>
      <c r="L17" s="69">
        <f>CalcBg(C17,MAIN!$E$11,K17,MAIN!$E$10)</f>
        <v>1.2119395902841177</v>
      </c>
      <c r="M17" s="69">
        <f>CalcViscoGasTes(J17,MAIN!$E$12,MAIN!$E$11)</f>
        <v>1.8670490335866947E-2</v>
      </c>
      <c r="N17" s="69">
        <f>(CalcCg(C17/MAIN!$N$11,MAIN!$N$16,MAIN!$N$11))*100000</f>
        <v>40.115832147136629</v>
      </c>
      <c r="O17" s="69">
        <f>Rsw(C17,MAIN!$E$11,MAIN!$L$19*0.0001)</f>
        <v>1.2578632165037053E-2</v>
      </c>
      <c r="P17" s="69">
        <f>CalcBbrine(MAIN!$E$11,C17)</f>
        <v>1.037261311670056</v>
      </c>
      <c r="Q17" s="69">
        <f>CalcViscoBrine($R$53,MAIN!$L$19*0.0001,MAIN!$E$11,TABLE!C17)</f>
        <v>0.13926234866999326</v>
      </c>
      <c r="R17" s="69">
        <f>(CalcCw(C17,MAIN!$E$11))*100000</f>
        <v>0.31743423061393067</v>
      </c>
      <c r="S17" s="69">
        <f>brinedensity(MAIN!$L$19*0.0001,MAIN!$E$11,C17)</f>
        <v>60.551958347771446</v>
      </c>
    </row>
    <row r="18" spans="1:19" ht="16" x14ac:dyDescent="0.35">
      <c r="A18" s="63"/>
      <c r="B18" s="63"/>
      <c r="C18" s="71">
        <f t="shared" si="0"/>
        <v>2371.5991111111107</v>
      </c>
      <c r="D18" s="70" t="str">
        <f>IF(C18&gt;PVTCALCULATOR!$G$10,"Under Saturated","Saturated")</f>
        <v>Under Saturated</v>
      </c>
      <c r="E18" s="69">
        <f>IF(C18&lt;PVTCALCULATOR!$G$10,CalcRs(MAIN!$E$20,MAIN!$E$17,MAIN!$E$16,MAIN!$E$12,TABLE!C18,MAIN!$E$11,MAIN!$E$18,PVTCALCULATOR!$G$10),CalcRs(MAIN!$E$20,MAIN!$E$17,MAIN!$E$16,MAIN!$E$12,TABLE!$C$10,MAIN!$E$11,MAIN!$E$18,PVTCALCULATOR!$G$10))</f>
        <v>0.19998176945970467</v>
      </c>
      <c r="F18" s="69">
        <f>CalcBoil(MAIN!$E$20,MAIN!$E$20,C18,MAIN!$E$11,MAIN!$E$18,MAIN!$E$12,PVTCALCULATOR!$G$10,MAIN!$E$16,MAIN!$E$17)</f>
        <v>1.1324567127368295</v>
      </c>
      <c r="G18" s="69">
        <f>CalcViscoOil(PVTCALCULATOR!$G$10,MAIN!$E$11,MAIN!$E$18,TABLE!E18,MAIN!$E$12,TABLE!C18)</f>
        <v>0.45496826745641178</v>
      </c>
      <c r="H18" s="69">
        <f>(co(C18,MAIN!$E$11,MAIN!$E$18,MAIN!$E$12,PVTCALCULATOR!$G$10,MAIN!$E$19,MAIN!$E$16,MAIN!$E$17))*100000</f>
        <v>1.2290459700880376</v>
      </c>
      <c r="I18" s="69">
        <f>CalcDensityOil(MAIN!$E$18,E18,F18,MAIN!$E$12)</f>
        <v>43.752763320909807</v>
      </c>
      <c r="J18" s="69">
        <f>DensGas(C18,MAIN!$E$11,MAIN!$E$12,K18)</f>
        <v>7.2687078025837621</v>
      </c>
      <c r="K18" s="69">
        <f>calcZ(C18/MAIN!$N$11,MAIN!$N$16)</f>
        <v>0.88720754785012901</v>
      </c>
      <c r="L18" s="69">
        <f>CalcBg(C18,MAIN!$E$11,K18,MAIN!$E$10)</f>
        <v>1.2544544457224405</v>
      </c>
      <c r="M18" s="69">
        <f>CalcViscoGasTes(J18,MAIN!$E$12,MAIN!$E$11)</f>
        <v>1.8406885803880359E-2</v>
      </c>
      <c r="N18" s="69">
        <f>(CalcCg(C18/MAIN!$N$11,MAIN!$N$16,MAIN!$N$11))*100000</f>
        <v>41.975157168378281</v>
      </c>
      <c r="O18" s="69">
        <f>Rsw(C18,MAIN!$E$11,MAIN!$L$19*0.0001)</f>
        <v>1.2248555826962503E-2</v>
      </c>
      <c r="P18" s="69">
        <f>CalcBbrine(MAIN!$E$11,C18)</f>
        <v>1.0374383710472568</v>
      </c>
      <c r="Q18" s="69">
        <f>CalcViscoBrine($R$53,MAIN!$L$19*0.0001,MAIN!$E$11,TABLE!C18)</f>
        <v>0.12987913911364901</v>
      </c>
      <c r="R18" s="69">
        <f>(CalcCw(C18,MAIN!$E$11))*100000</f>
        <v>0.31804939646734931</v>
      </c>
      <c r="S18" s="69">
        <f>brinedensity(MAIN!$L$19*0.0001,MAIN!$E$11,C18)</f>
        <v>60.541623958440418</v>
      </c>
    </row>
    <row r="19" spans="1:19" ht="16" x14ac:dyDescent="0.35">
      <c r="A19" s="63"/>
      <c r="B19" s="63"/>
      <c r="C19" s="71">
        <f t="shared" si="0"/>
        <v>2287.4239999999995</v>
      </c>
      <c r="D19" s="70" t="str">
        <f>IF(C19&gt;PVTCALCULATOR!$G$10,"Under Saturated","Saturated")</f>
        <v>Under Saturated</v>
      </c>
      <c r="E19" s="69">
        <f>IF(C19&lt;PVTCALCULATOR!$G$10,CalcRs(MAIN!$E$20,MAIN!$E$17,MAIN!$E$16,MAIN!$E$12,TABLE!C19,MAIN!$E$11,MAIN!$E$18,PVTCALCULATOR!$G$10),CalcRs(MAIN!$E$20,MAIN!$E$17,MAIN!$E$16,MAIN!$E$12,TABLE!$C$10,MAIN!$E$11,MAIN!$E$18,PVTCALCULATOR!$G$10))</f>
        <v>0.19998176945970467</v>
      </c>
      <c r="F19" s="69">
        <f>CalcBoil(MAIN!$E$20,MAIN!$E$20,C19,MAIN!$E$11,MAIN!$E$18,MAIN!$E$12,PVTCALCULATOR!$G$10,MAIN!$E$16,MAIN!$E$17)</f>
        <v>1.1327909440117669</v>
      </c>
      <c r="G19" s="69">
        <f>CalcViscoOil(PVTCALCULATOR!$G$10,MAIN!$E$11,MAIN!$E$18,TABLE!E19,MAIN!$E$12,TABLE!C19)</f>
        <v>0.44730648397357575</v>
      </c>
      <c r="H19" s="69">
        <f>(co(C19,MAIN!$E$11,MAIN!$E$18,MAIN!$E$12,PVTCALCULATOR!$G$10,MAIN!$E$19,MAIN!$E$16,MAIN!$E$17))*100000</f>
        <v>1.2742737376959774</v>
      </c>
      <c r="I19" s="69">
        <f>CalcDensityOil(MAIN!$E$18,E19,F19,MAIN!$E$12)</f>
        <v>43.739854017614178</v>
      </c>
      <c r="J19" s="69">
        <f>DensGas(C19,MAIN!$E$11,MAIN!$E$12,K19)</f>
        <v>7.0108327829685999</v>
      </c>
      <c r="K19" s="69">
        <f>calcZ(C19/MAIN!$N$11,MAIN!$N$16)</f>
        <v>0.88719324103600461</v>
      </c>
      <c r="L19" s="69">
        <f>CalcBg(C19,MAIN!$E$11,K19,MAIN!$E$10)</f>
        <v>1.3005962486738472</v>
      </c>
      <c r="M19" s="69">
        <f>CalcViscoGasTes(J19,MAIN!$E$12,MAIN!$E$11)</f>
        <v>1.8146893213225608E-2</v>
      </c>
      <c r="N19" s="69">
        <f>(CalcCg(C19/MAIN!$N$11,MAIN!$N$16,MAIN!$N$11))*100000</f>
        <v>43.950623463565421</v>
      </c>
      <c r="O19" s="69">
        <f>Rsw(C19,MAIN!$E$11,MAIN!$L$19*0.0001)</f>
        <v>1.1915471087477661E-2</v>
      </c>
      <c r="P19" s="69">
        <f>CalcBbrine(MAIN!$E$11,C19)</f>
        <v>1.0376115815641624</v>
      </c>
      <c r="Q19" s="69">
        <f>CalcViscoBrine($R$53,MAIN!$L$19*0.0001,MAIN!$E$11,TABLE!C19)</f>
        <v>0.1208231603938056</v>
      </c>
      <c r="R19" s="69">
        <f>(CalcCw(C19,MAIN!$E$11))*100000</f>
        <v>0.31866456232076801</v>
      </c>
      <c r="S19" s="69">
        <f>brinedensity(MAIN!$L$19*0.0001,MAIN!$E$11,C19)</f>
        <v>60.531517627548908</v>
      </c>
    </row>
    <row r="20" spans="1:19" ht="16" x14ac:dyDescent="0.35">
      <c r="A20" s="63"/>
      <c r="B20" s="63"/>
      <c r="C20" s="71">
        <f t="shared" si="0"/>
        <v>2203.2488888888884</v>
      </c>
      <c r="D20" s="70" t="str">
        <f>IF(C20&gt;PVTCALCULATOR!$G$10,"Under Saturated","Saturated")</f>
        <v>Under Saturated</v>
      </c>
      <c r="E20" s="69">
        <f>IF(C20&lt;PVTCALCULATOR!$G$10,CalcRs(MAIN!$E$20,MAIN!$E$17,MAIN!$E$16,MAIN!$E$12,TABLE!C20,MAIN!$E$11,MAIN!$E$18,PVTCALCULATOR!$G$10),CalcRs(MAIN!$E$20,MAIN!$E$17,MAIN!$E$16,MAIN!$E$12,TABLE!$C$10,MAIN!$E$11,MAIN!$E$18,PVTCALCULATOR!$G$10))</f>
        <v>0.19998176945970467</v>
      </c>
      <c r="F20" s="69">
        <f>CalcBoil(MAIN!$E$20,MAIN!$E$20,C20,MAIN!$E$11,MAIN!$E$18,MAIN!$E$12,PVTCALCULATOR!$G$10,MAIN!$E$16,MAIN!$E$17)</f>
        <v>1.1331508241339263</v>
      </c>
      <c r="G20" s="69">
        <f>CalcViscoOil(PVTCALCULATOR!$G$10,MAIN!$E$11,MAIN!$E$18,TABLE!E20,MAIN!$E$12,TABLE!C20)</f>
        <v>0.43985743466157989</v>
      </c>
      <c r="H20" s="69">
        <f>(co(C20,MAIN!$E$11,MAIN!$E$18,MAIN!$E$12,PVTCALCULATOR!$G$10,MAIN!$E$19,MAIN!$E$16,MAIN!$E$17))*100000</f>
        <v>1.3229573585058909</v>
      </c>
      <c r="I20" s="69">
        <f>CalcDensityOil(MAIN!$E$18,E20,F20,MAIN!$E$12)</f>
        <v>43.725962571151946</v>
      </c>
      <c r="J20" s="69">
        <f>DensGas(C20,MAIN!$E$11,MAIN!$E$12,K20)</f>
        <v>6.750342728785288</v>
      </c>
      <c r="K20" s="69">
        <f>calcZ(C20/MAIN!$N$11,MAIN!$N$16)</f>
        <v>0.88752152791439287</v>
      </c>
      <c r="L20" s="69">
        <f>CalcBg(C20,MAIN!$E$11,K20,MAIN!$E$10)</f>
        <v>1.3507851651332978</v>
      </c>
      <c r="M20" s="69">
        <f>CalcViscoGasTes(J20,MAIN!$E$12,MAIN!$E$11)</f>
        <v>1.7890895770368787E-2</v>
      </c>
      <c r="N20" s="69">
        <f>(CalcCg(C20/MAIN!$N$11,MAIN!$N$16,MAIN!$N$11))*100000</f>
        <v>46.052519068063553</v>
      </c>
      <c r="O20" s="69">
        <f>Rsw(C20,MAIN!$E$11,MAIN!$L$19*0.0001)</f>
        <v>1.1579377946582529E-2</v>
      </c>
      <c r="P20" s="69">
        <f>CalcBbrine(MAIN!$E$11,C20)</f>
        <v>1.037780943220773</v>
      </c>
      <c r="Q20" s="69">
        <f>CalcViscoBrine($R$53,MAIN!$L$19*0.0001,MAIN!$E$11,TABLE!C20)</f>
        <v>0.11209441251046288</v>
      </c>
      <c r="R20" s="69">
        <f>(CalcCw(C20,MAIN!$E$11))*100000</f>
        <v>0.31927972817418665</v>
      </c>
      <c r="S20" s="69">
        <f>brinedensity(MAIN!$L$19*0.0001,MAIN!$E$11,C20)</f>
        <v>60.521639128459562</v>
      </c>
    </row>
    <row r="21" spans="1:19" ht="16" x14ac:dyDescent="0.35">
      <c r="A21" s="63"/>
      <c r="B21" s="63"/>
      <c r="C21" s="71">
        <f t="shared" si="0"/>
        <v>2119.0737777777772</v>
      </c>
      <c r="D21" s="70" t="str">
        <f>IF(C21&gt;PVTCALCULATOR!$G$10,"Under Saturated","Saturated")</f>
        <v>Under Saturated</v>
      </c>
      <c r="E21" s="69">
        <f>IF(C21&lt;PVTCALCULATOR!$G$10,CalcRs(MAIN!$E$20,MAIN!$E$17,MAIN!$E$16,MAIN!$E$12,TABLE!C21,MAIN!$E$11,MAIN!$E$18,PVTCALCULATOR!$G$10),CalcRs(MAIN!$E$20,MAIN!$E$17,MAIN!$E$16,MAIN!$E$12,TABLE!$C$10,MAIN!$E$11,MAIN!$E$18,PVTCALCULATOR!$G$10))</f>
        <v>0.19998176945970467</v>
      </c>
      <c r="F21" s="69">
        <f>CalcBoil(MAIN!$E$20,MAIN!$E$20,C21,MAIN!$E$11,MAIN!$E$18,MAIN!$E$12,PVTCALCULATOR!$G$10,MAIN!$E$16,MAIN!$E$17)</f>
        <v>1.1335394233193619</v>
      </c>
      <c r="G21" s="69">
        <f>CalcViscoOil(PVTCALCULATOR!$G$10,MAIN!$E$11,MAIN!$E$18,TABLE!E21,MAIN!$E$12,TABLE!C21)</f>
        <v>0.43262317064627459</v>
      </c>
      <c r="H21" s="69">
        <f>(co(C21,MAIN!$E$11,MAIN!$E$18,MAIN!$E$12,PVTCALCULATOR!$G$10,MAIN!$E$19,MAIN!$E$16,MAIN!$E$17))*100000</f>
        <v>1.3755086588972705</v>
      </c>
      <c r="I21" s="69">
        <f>CalcDensityOil(MAIN!$E$18,E21,F21,MAIN!$E$12)</f>
        <v>43.710972467510224</v>
      </c>
      <c r="J21" s="69">
        <f>DensGas(C21,MAIN!$E$11,MAIN!$E$12,K21)</f>
        <v>6.4875307281077639</v>
      </c>
      <c r="K21" s="69">
        <f>calcZ(C21/MAIN!$N$11,MAIN!$N$16)</f>
        <v>0.8881939473744811</v>
      </c>
      <c r="L21" s="69">
        <f>CalcBg(C21,MAIN!$E$11,K21,MAIN!$E$10)</f>
        <v>1.4055059158491476</v>
      </c>
      <c r="M21" s="69">
        <f>CalcViscoGasTes(J21,MAIN!$E$12,MAIN!$E$11)</f>
        <v>1.7639269199274991E-2</v>
      </c>
      <c r="N21" s="69">
        <f>(CalcCg(C21/MAIN!$N$11,MAIN!$N$16,MAIN!$N$11))*100000</f>
        <v>48.292880340862865</v>
      </c>
      <c r="O21" s="69">
        <f>Rsw(C21,MAIN!$E$11,MAIN!$L$19*0.0001)</f>
        <v>1.1240276404277105E-2</v>
      </c>
      <c r="P21" s="69">
        <f>CalcBbrine(MAIN!$E$11,C21)</f>
        <v>1.0379464560170886</v>
      </c>
      <c r="Q21" s="69">
        <f>CalcViscoBrine($R$53,MAIN!$L$19*0.0001,MAIN!$E$11,TABLE!C21)</f>
        <v>0.10369289546362102</v>
      </c>
      <c r="R21" s="69">
        <f>(CalcCw(C21,MAIN!$E$11))*100000</f>
        <v>0.31989489402760529</v>
      </c>
      <c r="S21" s="69">
        <f>brinedensity(MAIN!$L$19*0.0001,MAIN!$E$11,C21)</f>
        <v>60.511988239753613</v>
      </c>
    </row>
    <row r="22" spans="1:19" ht="16" x14ac:dyDescent="0.35">
      <c r="A22" s="63"/>
      <c r="B22" s="63"/>
      <c r="C22" s="71">
        <f t="shared" si="0"/>
        <v>2034.898666666666</v>
      </c>
      <c r="D22" s="70" t="str">
        <f>IF(C22&gt;PVTCALCULATOR!$G$10,"Under Saturated","Saturated")</f>
        <v>Under Saturated</v>
      </c>
      <c r="E22" s="69">
        <f>IF(C22&lt;PVTCALCULATOR!$G$10,CalcRs(MAIN!$E$20,MAIN!$E$17,MAIN!$E$16,MAIN!$E$12,TABLE!C22,MAIN!$E$11,MAIN!$E$18,PVTCALCULATOR!$G$10),CalcRs(MAIN!$E$20,MAIN!$E$17,MAIN!$E$16,MAIN!$E$12,TABLE!$C$10,MAIN!$E$11,MAIN!$E$18,PVTCALCULATOR!$G$10))</f>
        <v>0.19998176945970467</v>
      </c>
      <c r="F22" s="69">
        <f>CalcBoil(MAIN!$E$20,MAIN!$E$20,C22,MAIN!$E$11,MAIN!$E$18,MAIN!$E$12,PVTCALCULATOR!$G$10,MAIN!$E$16,MAIN!$E$17)</f>
        <v>1.1339603221592043</v>
      </c>
      <c r="G22" s="69">
        <f>CalcViscoOil(PVTCALCULATOR!$G$10,MAIN!$E$11,MAIN!$E$18,TABLE!E22,MAIN!$E$12,TABLE!C22)</f>
        <v>0.42560596545020335</v>
      </c>
      <c r="H22" s="69">
        <f>(co(C22,MAIN!$E$11,MAIN!$E$18,MAIN!$E$12,PVTCALCULATOR!$G$10,MAIN!$E$19,MAIN!$E$16,MAIN!$E$17))*100000</f>
        <v>1.4324076072791261</v>
      </c>
      <c r="I22" s="69">
        <f>CalcDensityOil(MAIN!$E$18,E22,F22,MAIN!$E$12)</f>
        <v>43.694748004237184</v>
      </c>
      <c r="J22" s="69">
        <f>DensGas(C22,MAIN!$E$11,MAIN!$E$12,K22)</f>
        <v>6.2227064366337546</v>
      </c>
      <c r="K22" s="69">
        <f>calcZ(C22/MAIN!$N$11,MAIN!$N$16)</f>
        <v>0.88921060570206245</v>
      </c>
      <c r="L22" s="69">
        <f>CalcBg(C22,MAIN!$E$11,K22,MAIN!$E$10)</f>
        <v>1.4653210641479693</v>
      </c>
      <c r="M22" s="69">
        <f>CalcViscoGasTes(J22,MAIN!$E$12,MAIN!$E$11)</f>
        <v>1.7392377745109423E-2</v>
      </c>
      <c r="N22" s="69">
        <f>(CalcCg(C22/MAIN!$N$11,MAIN!$N$16,MAIN!$N$11))*100000</f>
        <v>50.685926902040123</v>
      </c>
      <c r="O22" s="69">
        <f>Rsw(C22,MAIN!$E$11,MAIN!$L$19*0.0001)</f>
        <v>1.0898166460561397E-2</v>
      </c>
      <c r="P22" s="69">
        <f>CalcBbrine(MAIN!$E$11,C22)</f>
        <v>1.0381081199531088</v>
      </c>
      <c r="Q22" s="69">
        <f>CalcViscoBrine($R$53,MAIN!$L$19*0.0001,MAIN!$E$11,TABLE!C22)</f>
        <v>9.5618609253279904E-2</v>
      </c>
      <c r="R22" s="69">
        <f>(CalcCw(C22,MAIN!$E$11))*100000</f>
        <v>0.32051005988102405</v>
      </c>
      <c r="S22" s="69">
        <f>brinedensity(MAIN!$L$19*0.0001,MAIN!$E$11,C22)</f>
        <v>60.502564745218486</v>
      </c>
    </row>
    <row r="23" spans="1:19" ht="16" x14ac:dyDescent="0.35">
      <c r="A23" s="63"/>
      <c r="B23" s="63"/>
      <c r="C23" s="71">
        <f t="shared" si="0"/>
        <v>1950.7235555555549</v>
      </c>
      <c r="D23" s="70" t="str">
        <f>IF(C23&gt;PVTCALCULATOR!$G$10,"Under Saturated","Saturated")</f>
        <v>Under Saturated</v>
      </c>
      <c r="E23" s="69">
        <f>IF(C23&lt;PVTCALCULATOR!$G$10,CalcRs(MAIN!$E$20,MAIN!$E$17,MAIN!$E$16,MAIN!$E$12,TABLE!C23,MAIN!$E$11,MAIN!$E$18,PVTCALCULATOR!$G$10),CalcRs(MAIN!$E$20,MAIN!$E$17,MAIN!$E$16,MAIN!$E$12,TABLE!$C$10,MAIN!$E$11,MAIN!$E$18,PVTCALCULATOR!$G$10))</f>
        <v>0.19998176945970467</v>
      </c>
      <c r="F23" s="69">
        <f>CalcBoil(MAIN!$E$20,MAIN!$E$20,C23,MAIN!$E$11,MAIN!$E$18,MAIN!$E$12,PVTCALCULATOR!$G$10,MAIN!$E$16,MAIN!$E$17)</f>
        <v>1.1344177222695626</v>
      </c>
      <c r="G23" s="69">
        <f>CalcViscoOil(PVTCALCULATOR!$G$10,MAIN!$E$11,MAIN!$E$18,TABLE!E23,MAIN!$E$12,TABLE!C23)</f>
        <v>0.41880835543479145</v>
      </c>
      <c r="H23" s="69">
        <f>(co(C23,MAIN!$E$11,MAIN!$E$18,MAIN!$E$12,PVTCALCULATOR!$G$10,MAIN!$E$19,MAIN!$E$16,MAIN!$E$17))*100000</f>
        <v>1.4942170159755739</v>
      </c>
      <c r="I23" s="69">
        <f>CalcDensityOil(MAIN!$E$18,E23,F23,MAIN!$E$12)</f>
        <v>43.677130170729406</v>
      </c>
      <c r="J23" s="69">
        <f>DensGas(C23,MAIN!$E$11,MAIN!$E$12,K23)</f>
        <v>5.9561927814465196</v>
      </c>
      <c r="K23" s="69">
        <f>calcZ(C23/MAIN!$N$11,MAIN!$N$16)</f>
        <v>0.89057016583854454</v>
      </c>
      <c r="L23" s="69">
        <f>CalcBg(C23,MAIN!$E$11,K23,MAIN!$E$10)</f>
        <v>1.5308877922843409</v>
      </c>
      <c r="M23" s="69">
        <f>CalcViscoGasTes(J23,MAIN!$E$12,MAIN!$E$11)</f>
        <v>1.7150570405052828E-2</v>
      </c>
      <c r="N23" s="69">
        <f>(CalcCg(C23/MAIN!$N$11,MAIN!$N$16,MAIN!$N$11))*100000</f>
        <v>53.248607511815671</v>
      </c>
      <c r="O23" s="69">
        <f>Rsw(C23,MAIN!$E$11,MAIN!$L$19*0.0001)</f>
        <v>1.0553048115435395E-2</v>
      </c>
      <c r="P23" s="69">
        <f>CalcBbrine(MAIN!$E$11,C23)</f>
        <v>1.0382659350288341</v>
      </c>
      <c r="Q23" s="69">
        <f>CalcViscoBrine($R$53,MAIN!$L$19*0.0001,MAIN!$E$11,TABLE!C23)</f>
        <v>8.7871553879439596E-2</v>
      </c>
      <c r="R23" s="69">
        <f>(CalcCw(C23,MAIN!$E$11))*100000</f>
        <v>0.32112522573444263</v>
      </c>
      <c r="S23" s="69">
        <f>brinedensity(MAIN!$L$19*0.0001,MAIN!$E$11,C23)</f>
        <v>60.493368433835528</v>
      </c>
    </row>
    <row r="24" spans="1:19" ht="16" x14ac:dyDescent="0.35">
      <c r="A24" s="63"/>
      <c r="B24" s="63"/>
      <c r="C24" s="71">
        <f t="shared" si="0"/>
        <v>1866.5484444444437</v>
      </c>
      <c r="D24" s="70" t="str">
        <f>IF(C24&gt;PVTCALCULATOR!$G$10,"Under Saturated","Saturated")</f>
        <v>Under Saturated</v>
      </c>
      <c r="E24" s="69">
        <f>IF(C24&lt;PVTCALCULATOR!$G$10,CalcRs(MAIN!$E$20,MAIN!$E$17,MAIN!$E$16,MAIN!$E$12,TABLE!C24,MAIN!$E$11,MAIN!$E$18,PVTCALCULATOR!$G$10),CalcRs(MAIN!$E$20,MAIN!$E$17,MAIN!$E$16,MAIN!$E$12,TABLE!$C$10,MAIN!$E$11,MAIN!$E$18,PVTCALCULATOR!$G$10))</f>
        <v>0.19998176945970467</v>
      </c>
      <c r="F24" s="69">
        <f>CalcBoil(MAIN!$E$20,MAIN!$E$20,C24,MAIN!$E$11,MAIN!$E$18,MAIN!$E$12,PVTCALCULATOR!$G$10,MAIN!$E$16,MAIN!$E$17)</f>
        <v>1.1349165870327773</v>
      </c>
      <c r="G24" s="69">
        <f>CalcViscoOil(PVTCALCULATOR!$G$10,MAIN!$E$11,MAIN!$E$18,TABLE!E24,MAIN!$E$12,TABLE!C24)</f>
        <v>0.41223318653770169</v>
      </c>
      <c r="H24" s="69">
        <f>(co(C24,MAIN!$E$11,MAIN!$E$18,MAIN!$E$12,PVTCALCULATOR!$G$10,MAIN!$E$19,MAIN!$E$16,MAIN!$E$17))*100000</f>
        <v>1.5616012211475392</v>
      </c>
      <c r="I24" s="69">
        <f>CalcDensityOil(MAIN!$E$18,E24,F24,MAIN!$E$12)</f>
        <v>43.657931419517666</v>
      </c>
      <c r="J24" s="69">
        <f>DensGas(C24,MAIN!$E$11,MAIN!$E$12,K24)</f>
        <v>5.6883223594362722</v>
      </c>
      <c r="K24" s="69">
        <f>calcZ(C24/MAIN!$N$11,MAIN!$N$16)</f>
        <v>0.89226986551375975</v>
      </c>
      <c r="L24" s="69">
        <f>CalcBg(C24,MAIN!$E$11,K24,MAIN!$E$10)</f>
        <v>1.6029792690075733</v>
      </c>
      <c r="M24" s="69">
        <f>CalcViscoGasTes(J24,MAIN!$E$12,MAIN!$E$11)</f>
        <v>1.6914177528814196E-2</v>
      </c>
      <c r="N24" s="69">
        <f>(CalcCg(C24/MAIN!$N$11,MAIN!$N$16,MAIN!$N$11))*100000</f>
        <v>56.00128804383349</v>
      </c>
      <c r="O24" s="69">
        <f>Rsw(C24,MAIN!$E$11,MAIN!$L$19*0.0001)</f>
        <v>1.0204921368899104E-2</v>
      </c>
      <c r="P24" s="69">
        <f>CalcBbrine(MAIN!$E$11,C24)</f>
        <v>1.0384199012442643</v>
      </c>
      <c r="Q24" s="69">
        <f>CalcViscoBrine($R$53,MAIN!$L$19*0.0001,MAIN!$E$11,TABLE!C24)</f>
        <v>8.0451729342100042E-2</v>
      </c>
      <c r="R24" s="69">
        <f>(CalcCw(C24,MAIN!$E$11))*100000</f>
        <v>0.32174039158786133</v>
      </c>
      <c r="S24" s="69">
        <f>brinedensity(MAIN!$L$19*0.0001,MAIN!$E$11,C24)</f>
        <v>60.48439909976824</v>
      </c>
    </row>
    <row r="25" spans="1:19" ht="16" x14ac:dyDescent="0.35">
      <c r="A25" s="63"/>
      <c r="B25" s="63"/>
      <c r="C25" s="71">
        <f t="shared" si="0"/>
        <v>1782.3733333333325</v>
      </c>
      <c r="D25" s="70" t="str">
        <f>IF(C25&gt;PVTCALCULATOR!$G$10,"Under Saturated","Saturated")</f>
        <v>Under Saturated</v>
      </c>
      <c r="E25" s="69">
        <f>IF(C25&lt;PVTCALCULATOR!$G$10,CalcRs(MAIN!$E$20,MAIN!$E$17,MAIN!$E$16,MAIN!$E$12,TABLE!C25,MAIN!$E$11,MAIN!$E$18,PVTCALCULATOR!$G$10),CalcRs(MAIN!$E$20,MAIN!$E$17,MAIN!$E$16,MAIN!$E$12,TABLE!$C$10,MAIN!$E$11,MAIN!$E$18,PVTCALCULATOR!$G$10))</f>
        <v>0.19998176945970467</v>
      </c>
      <c r="F25" s="69">
        <f>CalcBoil(MAIN!$E$20,MAIN!$E$20,C25,MAIN!$E$11,MAIN!$E$18,MAIN!$E$12,PVTCALCULATOR!$G$10,MAIN!$E$16,MAIN!$E$17)</f>
        <v>1.1354628224304837</v>
      </c>
      <c r="G25" s="69">
        <f>CalcViscoOil(PVTCALCULATOR!$G$10,MAIN!$E$11,MAIN!$E$18,TABLE!E25,MAIN!$E$12,TABLE!C25)</f>
        <v>0.40588366862475889</v>
      </c>
      <c r="H25" s="69">
        <f>(co(C25,MAIN!$E$11,MAIN!$E$18,MAIN!$E$12,PVTCALCULATOR!$G$10,MAIN!$E$19,MAIN!$E$16,MAIN!$E$17))*100000</f>
        <v>1.6353500558293907</v>
      </c>
      <c r="I25" s="69">
        <f>CalcDensityOil(MAIN!$E$18,E25,F25,MAIN!$E$12)</f>
        <v>43.636928963901433</v>
      </c>
      <c r="J25" s="69">
        <f>DensGas(C25,MAIN!$E$11,MAIN!$E$12,K25)</f>
        <v>5.4194336439404287</v>
      </c>
      <c r="K25" s="69">
        <f>calcZ(C25/MAIN!$N$11,MAIN!$N$16)</f>
        <v>0.89430556375317349</v>
      </c>
      <c r="L25" s="69">
        <f>CalcBg(C25,MAIN!$E$11,K25,MAIN!$E$10)</f>
        <v>1.6825121251929878</v>
      </c>
      <c r="M25" s="69">
        <f>CalcViscoGasTes(J25,MAIN!$E$12,MAIN!$E$11)</f>
        <v>1.6683507920554102E-2</v>
      </c>
      <c r="N25" s="69">
        <f>(CalcCg(C25/MAIN!$N$11,MAIN!$N$16,MAIN!$N$11))*100000</f>
        <v>58.968624617536065</v>
      </c>
      <c r="O25" s="69">
        <f>Rsw(C25,MAIN!$E$11,MAIN!$L$19*0.0001)</f>
        <v>9.8537862209525217E-3</v>
      </c>
      <c r="P25" s="69">
        <f>CalcBbrine(MAIN!$E$11,C25)</f>
        <v>1.0385700185993993</v>
      </c>
      <c r="Q25" s="69">
        <f>CalcViscoBrine($R$53,MAIN!$L$19*0.0001,MAIN!$E$11,TABLE!C25)</f>
        <v>7.3359135641261286E-2</v>
      </c>
      <c r="R25" s="69">
        <f>(CalcCw(C25,MAIN!$E$11))*100000</f>
        <v>0.32235555744128003</v>
      </c>
      <c r="S25" s="69">
        <f>brinedensity(MAIN!$L$19*0.0001,MAIN!$E$11,C25)</f>
        <v>60.475656542350649</v>
      </c>
    </row>
    <row r="26" spans="1:19" ht="16" x14ac:dyDescent="0.35">
      <c r="A26" s="63"/>
      <c r="B26" s="63"/>
      <c r="C26" s="71">
        <f t="shared" si="0"/>
        <v>1698.1982222222214</v>
      </c>
      <c r="D26" s="70" t="str">
        <f>IF(C26&gt;PVTCALCULATOR!$G$10,"Under Saturated","Saturated")</f>
        <v>Under Saturated</v>
      </c>
      <c r="E26" s="69">
        <f>IF(C26&lt;PVTCALCULATOR!$G$10,CalcRs(MAIN!$E$20,MAIN!$E$17,MAIN!$E$16,MAIN!$E$12,TABLE!C26,MAIN!$E$11,MAIN!$E$18,PVTCALCULATOR!$G$10),CalcRs(MAIN!$E$20,MAIN!$E$17,MAIN!$E$16,MAIN!$E$12,TABLE!$C$10,MAIN!$E$11,MAIN!$E$18,PVTCALCULATOR!$G$10))</f>
        <v>0.19998176945970467</v>
      </c>
      <c r="F26" s="69">
        <f>CalcBoil(MAIN!$E$20,MAIN!$E$20,C26,MAIN!$E$11,MAIN!$E$18,MAIN!$E$12,PVTCALCULATOR!$G$10,MAIN!$E$16,MAIN!$E$17)</f>
        <v>1.1360635119565214</v>
      </c>
      <c r="G26" s="69">
        <f>CalcViscoOil(PVTCALCULATOR!$G$10,MAIN!$E$11,MAIN!$E$18,TABLE!E26,MAIN!$E$12,TABLE!C26)</f>
        <v>0.39976343912464063</v>
      </c>
      <c r="H26" s="69">
        <f>(co(C26,MAIN!$E$11,MAIN!$E$18,MAIN!$E$12,PVTCALCULATOR!$G$10,MAIN!$E$19,MAIN!$E$16,MAIN!$E$17))*100000</f>
        <v>1.7164099526386503</v>
      </c>
      <c r="I26" s="69">
        <f>CalcDensityOil(MAIN!$E$18,E26,F26,MAIN!$E$12)</f>
        <v>43.613856093501852</v>
      </c>
      <c r="J26" s="69">
        <f>DensGas(C26,MAIN!$E$11,MAIN!$E$12,K26)</f>
        <v>5.1499312055344859</v>
      </c>
      <c r="K26" s="69">
        <f>calcZ(C26/MAIN!$N$11,MAIN!$N$16)</f>
        <v>0.89666065611098866</v>
      </c>
      <c r="L26" s="69">
        <f>CalcBg(C26,MAIN!$E$11,K26,MAIN!$E$10)</f>
        <v>1.7705601208438377</v>
      </c>
      <c r="M26" s="69">
        <f>CalcViscoGasTes(J26,MAIN!$E$12,MAIN!$E$11)</f>
        <v>1.6458899185628255E-2</v>
      </c>
      <c r="N26" s="69">
        <f>(CalcCg(C26/MAIN!$N$11,MAIN!$N$16,MAIN!$N$11))*100000</f>
        <v>62.180660803983507</v>
      </c>
      <c r="O26" s="69">
        <f>Rsw(C26,MAIN!$E$11,MAIN!$L$19*0.0001)</f>
        <v>9.4996426715956515E-3</v>
      </c>
      <c r="P26" s="69">
        <f>CalcBbrine(MAIN!$E$11,C26)</f>
        <v>1.0387162870942395</v>
      </c>
      <c r="Q26" s="69">
        <f>CalcViscoBrine($R$53,MAIN!$L$19*0.0001,MAIN!$E$11,TABLE!C26)</f>
        <v>6.6593772776923299E-2</v>
      </c>
      <c r="R26" s="69">
        <f>(CalcCw(C26,MAIN!$E$11))*100000</f>
        <v>0.32297072329469861</v>
      </c>
      <c r="S26" s="69">
        <f>brinedensity(MAIN!$L$19*0.0001,MAIN!$E$11,C26)</f>
        <v>60.467140566076068</v>
      </c>
    </row>
    <row r="27" spans="1:19" ht="16" x14ac:dyDescent="0.35">
      <c r="A27" s="63"/>
      <c r="B27" s="63"/>
      <c r="C27" s="71">
        <f t="shared" si="0"/>
        <v>1614.0231111111102</v>
      </c>
      <c r="D27" s="70" t="str">
        <f>IF(C27&gt;PVTCALCULATOR!$G$10,"Under Saturated","Saturated")</f>
        <v>Under Saturated</v>
      </c>
      <c r="E27" s="69">
        <f>IF(C27&lt;PVTCALCULATOR!$G$10,CalcRs(MAIN!$E$20,MAIN!$E$17,MAIN!$E$16,MAIN!$E$12,TABLE!C27,MAIN!$E$11,MAIN!$E$18,PVTCALCULATOR!$G$10),CalcRs(MAIN!$E$20,MAIN!$E$17,MAIN!$E$16,MAIN!$E$12,TABLE!$C$10,MAIN!$E$11,MAIN!$E$18,PVTCALCULATOR!$G$10))</f>
        <v>0.19998176945970467</v>
      </c>
      <c r="F27" s="69">
        <f>CalcBoil(MAIN!$E$20,MAIN!$E$20,C27,MAIN!$E$11,MAIN!$E$18,MAIN!$E$12,PVTCALCULATOR!$G$10,MAIN!$E$16,MAIN!$E$17)</f>
        <v>1.1367272254678793</v>
      </c>
      <c r="G27" s="69">
        <f>CalcViscoOil(PVTCALCULATOR!$G$10,MAIN!$E$11,MAIN!$E$18,TABLE!E27,MAIN!$E$12,TABLE!C27)</f>
        <v>0.39387663807573375</v>
      </c>
      <c r="H27" s="69">
        <f>(co(C27,MAIN!$E$11,MAIN!$E$18,MAIN!$E$12,PVTCALCULATOR!$G$10,MAIN!$E$19,MAIN!$E$16,MAIN!$E$17))*100000</f>
        <v>1.8059247789636057</v>
      </c>
      <c r="I27" s="69">
        <f>CalcDensityOil(MAIN!$E$18,E27,F27,MAIN!$E$12)</f>
        <v>43.588390788437337</v>
      </c>
      <c r="J27" s="69">
        <f>DensGas(C27,MAIN!$E$11,MAIN!$E$12,K27)</f>
        <v>4.8799784791243779</v>
      </c>
      <c r="K27" s="69">
        <f>calcZ(C27/MAIN!$N$11,MAIN!$N$16)</f>
        <v>0.89935882831648306</v>
      </c>
      <c r="L27" s="69">
        <f>CalcBg(C27,MAIN!$E$11,K27,MAIN!$E$10)</f>
        <v>1.8685047191529203</v>
      </c>
      <c r="M27" s="69">
        <f>CalcViscoGasTes(J27,MAIN!$E$12,MAIN!$E$11)</f>
        <v>1.6240466554275523E-2</v>
      </c>
      <c r="N27" s="69">
        <f>(CalcCg(C27/MAIN!$N$11,MAIN!$N$16,MAIN!$N$11))*100000</f>
        <v>65.674386711371</v>
      </c>
      <c r="O27" s="69">
        <f>Rsw(C27,MAIN!$E$11,MAIN!$L$19*0.0001)</f>
        <v>9.1424907208284886E-3</v>
      </c>
      <c r="P27" s="69">
        <f>CalcBbrine(MAIN!$E$11,C27)</f>
        <v>1.0388587067287842</v>
      </c>
      <c r="Q27" s="69">
        <f>CalcViscoBrine($R$53,MAIN!$L$19*0.0001,MAIN!$E$11,TABLE!C27)</f>
        <v>6.0155640749086095E-2</v>
      </c>
      <c r="R27" s="69">
        <f>(CalcCw(C27,MAIN!$E$11))*100000</f>
        <v>0.32358588914811737</v>
      </c>
      <c r="S27" s="69">
        <f>brinedensity(MAIN!$L$19*0.0001,MAIN!$E$11,C27)</f>
        <v>60.458850980586135</v>
      </c>
    </row>
    <row r="28" spans="1:19" ht="16" x14ac:dyDescent="0.35">
      <c r="A28" s="63"/>
      <c r="B28" s="63"/>
      <c r="C28" s="71">
        <f t="shared" si="0"/>
        <v>1529.847999999999</v>
      </c>
      <c r="D28" s="70" t="str">
        <f>IF(C28&gt;PVTCALCULATOR!$G$10,"Under Saturated","Saturated")</f>
        <v>Under Saturated</v>
      </c>
      <c r="E28" s="69">
        <f>IF(C28&lt;PVTCALCULATOR!$G$10,CalcRs(MAIN!$E$20,MAIN!$E$17,MAIN!$E$16,MAIN!$E$12,TABLE!C28,MAIN!$E$11,MAIN!$E$18,PVTCALCULATOR!$G$10),CalcRs(MAIN!$E$20,MAIN!$E$17,MAIN!$E$16,MAIN!$E$12,TABLE!$C$10,MAIN!$E$11,MAIN!$E$18,PVTCALCULATOR!$G$10))</f>
        <v>0.19998176945970467</v>
      </c>
      <c r="F28" s="69">
        <f>CalcBoil(MAIN!$E$20,MAIN!$E$20,C28,MAIN!$E$11,MAIN!$E$18,MAIN!$E$12,PVTCALCULATOR!$G$10,MAIN!$E$16,MAIN!$E$17)</f>
        <v>1.1374644306267856</v>
      </c>
      <c r="G28" s="69">
        <f>CalcViscoOil(PVTCALCULATOR!$G$10,MAIN!$E$11,MAIN!$E$18,TABLE!E28,MAIN!$E$12,TABLE!C28)</f>
        <v>0.38822799733181573</v>
      </c>
      <c r="H28" s="69">
        <f>(co(C28,MAIN!$E$11,MAIN!$E$18,MAIN!$E$12,PVTCALCULATOR!$G$10,MAIN!$E$19,MAIN!$E$16,MAIN!$E$17))*100000</f>
        <v>1.9052901531233724</v>
      </c>
      <c r="I28" s="69">
        <f>CalcDensityOil(MAIN!$E$18,E28,F28,MAIN!$E$12)</f>
        <v>43.560140598196263</v>
      </c>
      <c r="J28" s="69">
        <f>DensGas(C28,MAIN!$E$11,MAIN!$E$12,K28)</f>
        <v>4.6100217277256963</v>
      </c>
      <c r="K28" s="69">
        <f>calcZ(C28/MAIN!$N$11,MAIN!$N$16)</f>
        <v>0.90237378615592168</v>
      </c>
      <c r="L28" s="69">
        <f>CalcBg(C28,MAIN!$E$11,K28,MAIN!$E$10)</f>
        <v>1.9779218745910307</v>
      </c>
      <c r="M28" s="69">
        <f>CalcViscoGasTes(J28,MAIN!$E$12,MAIN!$E$11)</f>
        <v>1.602853879565504E-2</v>
      </c>
      <c r="N28" s="69">
        <f>(CalcCg(C28/MAIN!$N$11,MAIN!$N$16,MAIN!$N$11))*100000</f>
        <v>69.495431267767472</v>
      </c>
      <c r="O28" s="69">
        <f>Rsw(C28,MAIN!$E$11,MAIN!$L$19*0.0001)</f>
        <v>8.7823303686510399E-3</v>
      </c>
      <c r="P28" s="69">
        <f>CalcBbrine(MAIN!$E$11,C28)</f>
        <v>1.0389972775030338</v>
      </c>
      <c r="Q28" s="69">
        <f>CalcViscoBrine($R$53,MAIN!$L$19*0.0001,MAIN!$E$11,TABLE!C28)</f>
        <v>5.4044739557749674E-2</v>
      </c>
      <c r="R28" s="69">
        <f>(CalcCw(C28,MAIN!$E$11))*100000</f>
        <v>0.32420105500153601</v>
      </c>
      <c r="S28" s="69">
        <f>brinedensity(MAIN!$L$19*0.0001,MAIN!$E$11,C28)</f>
        <v>60.450787600660107</v>
      </c>
    </row>
    <row r="29" spans="1:19" ht="16" x14ac:dyDescent="0.35">
      <c r="A29" s="63"/>
      <c r="B29" s="63"/>
      <c r="C29" s="71">
        <f t="shared" si="0"/>
        <v>1445.6728888888879</v>
      </c>
      <c r="D29" s="70" t="str">
        <f>IF(C29&gt;PVTCALCULATOR!$G$10,"Under Saturated","Saturated")</f>
        <v>Under Saturated</v>
      </c>
      <c r="E29" s="69">
        <f>IF(C29&lt;PVTCALCULATOR!$G$10,CalcRs(MAIN!$E$20,MAIN!$E$17,MAIN!$E$16,MAIN!$E$12,TABLE!C29,MAIN!$E$11,MAIN!$E$18,PVTCALCULATOR!$G$10),CalcRs(MAIN!$E$20,MAIN!$E$17,MAIN!$E$16,MAIN!$E$12,TABLE!$C$10,MAIN!$E$11,MAIN!$E$18,PVTCALCULATOR!$G$10))</f>
        <v>0.19998176945970467</v>
      </c>
      <c r="F29" s="69">
        <f>CalcBoil(MAIN!$E$20,MAIN!$E$20,C29,MAIN!$E$11,MAIN!$E$18,MAIN!$E$12,PVTCALCULATOR!$G$10,MAIN!$E$16,MAIN!$E$17)</f>
        <v>1.1382880490207521</v>
      </c>
      <c r="G29" s="69">
        <f>CalcViscoOil(PVTCALCULATOR!$G$10,MAIN!$E$11,MAIN!$E$18,TABLE!E29,MAIN!$E$12,TABLE!C29)</f>
        <v>0.38282294751047136</v>
      </c>
      <c r="H29" s="69">
        <f>(co(C29,MAIN!$E$11,MAIN!$E$18,MAIN!$E$12,PVTCALCULATOR!$G$10,MAIN!$E$19,MAIN!$E$16,MAIN!$E$17))*100000</f>
        <v>2.0162267360604216</v>
      </c>
      <c r="I29" s="69">
        <f>CalcDensityOil(MAIN!$E$18,E29,F29,MAIN!$E$12)</f>
        <v>43.528622272873157</v>
      </c>
      <c r="J29" s="69">
        <f>DensGas(C29,MAIN!$E$11,MAIN!$E$12,K29)</f>
        <v>4.3403889680676242</v>
      </c>
      <c r="K29" s="69">
        <f>calcZ(C29/MAIN!$N$11,MAIN!$N$16)</f>
        <v>0.90569619984381067</v>
      </c>
      <c r="L29" s="69">
        <f>CalcBg(C29,MAIN!$E$11,K29,MAIN!$E$10)</f>
        <v>2.1007939345279727</v>
      </c>
      <c r="M29" s="69">
        <f>CalcViscoGasTes(J29,MAIN!$E$12,MAIN!$E$11)</f>
        <v>1.5823325595747614E-2</v>
      </c>
      <c r="N29" s="69">
        <f>(CalcCg(C29/MAIN!$N$11,MAIN!$N$16,MAIN!$N$11))*100000</f>
        <v>73.700818058915104</v>
      </c>
      <c r="O29" s="69">
        <f>Rsw(C29,MAIN!$E$11,MAIN!$L$19*0.0001)</f>
        <v>8.4191616150632968E-3</v>
      </c>
      <c r="P29" s="69">
        <f>CalcBbrine(MAIN!$E$11,C29)</f>
        <v>1.0391319994169885</v>
      </c>
      <c r="Q29" s="69">
        <f>CalcViscoBrine($R$53,MAIN!$L$19*0.0001,MAIN!$E$11,TABLE!C29)</f>
        <v>4.8261069202914043E-2</v>
      </c>
      <c r="R29" s="69">
        <f>(CalcCw(C29,MAIN!$E$11))*100000</f>
        <v>0.32481622085495465</v>
      </c>
      <c r="S29" s="69">
        <f>brinedensity(MAIN!$L$19*0.0001,MAIN!$E$11,C29)</f>
        <v>60.442950246204461</v>
      </c>
    </row>
    <row r="30" spans="1:19" ht="16" x14ac:dyDescent="0.35">
      <c r="A30" s="63"/>
      <c r="B30" s="63"/>
      <c r="C30" s="71">
        <f>C29-(($C$10-14.696)/36)</f>
        <v>1361.4977777777767</v>
      </c>
      <c r="D30" s="70" t="str">
        <f>IF(C30&gt;PVTCALCULATOR!$G$10,"Under Saturated","Saturated")</f>
        <v>Under Saturated</v>
      </c>
      <c r="E30" s="69">
        <f>IF(C30&lt;PVTCALCULATOR!$G$10,CalcRs(MAIN!$E$20,MAIN!$E$17,MAIN!$E$16,MAIN!$E$12,TABLE!C30,MAIN!$E$11,MAIN!$E$18,PVTCALCULATOR!$G$10),CalcRs(MAIN!$E$20,MAIN!$E$17,MAIN!$E$16,MAIN!$E$12,TABLE!$C$10,MAIN!$E$11,MAIN!$E$18,PVTCALCULATOR!$G$10))</f>
        <v>0.19998176945970467</v>
      </c>
      <c r="F30" s="69">
        <f>CalcBoil(MAIN!$E$20,MAIN!$E$20,C30,MAIN!$E$11,MAIN!$E$18,MAIN!$E$12,PVTCALCULATOR!$G$10,MAIN!$E$16,MAIN!$E$17)</f>
        <v>1.1392142200075865</v>
      </c>
      <c r="G30" s="69">
        <f>CalcViscoOil(PVTCALCULATOR!$G$10,MAIN!$E$11,MAIN!$E$18,TABLE!E30,MAIN!$E$12,TABLE!C30)</f>
        <v>0.37766774742060372</v>
      </c>
      <c r="H30" s="69">
        <f>(co(C30,MAIN!$E$11,MAIN!$E$18,MAIN!$E$12,PVTCALCULATOR!$G$10,MAIN!$E$19,MAIN!$E$16,MAIN!$E$17))*100000</f>
        <v>2.1408807107515062</v>
      </c>
      <c r="I30" s="69">
        <f>CalcDensityOil(MAIN!$E$18,E30,F30,MAIN!$E$12)</f>
        <v>43.493233891708343</v>
      </c>
      <c r="J30" s="69">
        <f>DensGas(C30,MAIN!$E$11,MAIN!$E$12,K30)</f>
        <v>4.0714953210466609</v>
      </c>
      <c r="K30" s="69">
        <f>calcZ(C30/MAIN!$N$11,MAIN!$N$16)</f>
        <v>0.90929364663621171</v>
      </c>
      <c r="L30" s="69">
        <f>CalcBg(C30,MAIN!$E$11,K30,MAIN!$E$10)</f>
        <v>2.2395366072199132</v>
      </c>
      <c r="M30" s="69">
        <f>CalcViscoGasTes(J30,MAIN!$E$12,MAIN!$E$11)</f>
        <v>1.5625082708248705E-2</v>
      </c>
      <c r="N30" s="69">
        <f>(CalcCg(C30/MAIN!$N$11,MAIN!$N$16,MAIN!$N$11))*100000</f>
        <v>78.362475874934574</v>
      </c>
      <c r="O30" s="69">
        <f>Rsw(C30,MAIN!$E$11,MAIN!$L$19*0.0001)</f>
        <v>8.0529844600652663E-3</v>
      </c>
      <c r="P30" s="69">
        <f>CalcBbrine(MAIN!$E$11,C30)</f>
        <v>1.0392628724706481</v>
      </c>
      <c r="Q30" s="69">
        <f>CalcViscoBrine($R$53,MAIN!$L$19*0.0001,MAIN!$E$11,TABLE!C30)</f>
        <v>4.2804629684579189E-2</v>
      </c>
      <c r="R30" s="69">
        <f>(CalcCw(C30,MAIN!$E$11))*100000</f>
        <v>0.32543138670837335</v>
      </c>
      <c r="S30" s="69">
        <f>brinedensity(MAIN!$L$19*0.0001,MAIN!$E$11,C30)</f>
        <v>60.435338742242905</v>
      </c>
    </row>
    <row r="31" spans="1:19" ht="16" x14ac:dyDescent="0.35">
      <c r="A31" s="63"/>
      <c r="B31" s="63"/>
      <c r="C31" s="71">
        <f>C30-(($C$10-14.696)/36)</f>
        <v>1277.3226666666656</v>
      </c>
      <c r="D31" s="70" t="str">
        <f>IF(C31&gt;PVTCALCULATOR!$G$10,"Under Saturated","Saturated")</f>
        <v>Under Saturated</v>
      </c>
      <c r="E31" s="69">
        <f>IF(C31&lt;PVTCALCULATOR!$G$10,CalcRs(MAIN!$E$20,MAIN!$E$17,MAIN!$E$16,MAIN!$E$12,TABLE!C31,MAIN!$E$11,MAIN!$E$18,PVTCALCULATOR!$G$10),CalcRs(MAIN!$E$20,MAIN!$E$17,MAIN!$E$16,MAIN!$E$12,TABLE!$C$10,MAIN!$E$11,MAIN!$E$18,PVTCALCULATOR!$G$10))</f>
        <v>0.19998176945970467</v>
      </c>
      <c r="F31" s="69">
        <f>CalcBoil(MAIN!$E$20,MAIN!$E$20,C31,MAIN!$E$11,MAIN!$E$18,MAIN!$E$12,PVTCALCULATOR!$G$10,MAIN!$E$16,MAIN!$E$17)</f>
        <v>1.140263368815484</v>
      </c>
      <c r="G31" s="69">
        <f>CalcViscoOil(PVTCALCULATOR!$G$10,MAIN!$E$11,MAIN!$E$18,TABLE!E31,MAIN!$E$12,TABLE!C31)</f>
        <v>0.37276964231775778</v>
      </c>
      <c r="H31" s="69">
        <f>(co(C31,MAIN!$E$11,MAIN!$E$18,MAIN!$E$12,PVTCALCULATOR!$G$10,MAIN!$E$19,MAIN!$E$16,MAIN!$E$17))*100000</f>
        <v>2.281963990964031</v>
      </c>
      <c r="I31" s="69">
        <f>CalcDensityOil(MAIN!$E$18,E31,F31,MAIN!$E$12)</f>
        <v>43.453216053955217</v>
      </c>
      <c r="J31" s="69">
        <f>DensGas(C31,MAIN!$E$11,MAIN!$E$12,K31)</f>
        <v>3.8034629969163842</v>
      </c>
      <c r="K31" s="69">
        <f>calcZ(C31/MAIN!$N$11,MAIN!$N$16)</f>
        <v>0.91319302016785076</v>
      </c>
      <c r="L31" s="69">
        <f>CalcBg(C31,MAIN!$E$11,K31,MAIN!$E$10)</f>
        <v>2.3973580983964142</v>
      </c>
      <c r="M31" s="69">
        <f>CalcViscoGasTes(J31,MAIN!$E$12,MAIN!$E$11)</f>
        <v>1.5433837101446102E-2</v>
      </c>
      <c r="N31" s="69">
        <f>(CalcCg(C31/MAIN!$N$11,MAIN!$N$16,MAIN!$N$11))*100000</f>
        <v>83.571771282831634</v>
      </c>
      <c r="O31" s="69">
        <f>Rsw(C31,MAIN!$E$11,MAIN!$L$19*0.0001)</f>
        <v>7.6837989036569456E-3</v>
      </c>
      <c r="P31" s="69">
        <f>CalcBbrine(MAIN!$E$11,C31)</f>
        <v>1.0393898966640127</v>
      </c>
      <c r="Q31" s="69">
        <f>CalcViscoBrine($R$53,MAIN!$L$19*0.0001,MAIN!$E$11,TABLE!C31)</f>
        <v>3.7675421002745117E-2</v>
      </c>
      <c r="R31" s="69">
        <f>(CalcCw(C31,MAIN!$E$11))*100000</f>
        <v>0.32604655256179199</v>
      </c>
      <c r="S31" s="69">
        <f>brinedensity(MAIN!$L$19*0.0001,MAIN!$E$11,C31)</f>
        <v>60.427952918906456</v>
      </c>
    </row>
    <row r="32" spans="1:19" ht="16" x14ac:dyDescent="0.35">
      <c r="A32" s="63"/>
      <c r="B32" s="63"/>
      <c r="C32" s="71">
        <f t="shared" ref="C32:C41" si="1">C31-(($C$10-14.696)/36)</f>
        <v>1193.1475555555544</v>
      </c>
      <c r="D32" s="70" t="str">
        <f>IF(C32&gt;PVTCALCULATOR!$G$10,"Under Saturated","Saturated")</f>
        <v>Under Saturated</v>
      </c>
      <c r="E32" s="69">
        <f>IF(C32&lt;PVTCALCULATOR!$G$10,CalcRs(MAIN!$E$20,MAIN!$E$17,MAIN!$E$16,MAIN!$E$12,TABLE!C32,MAIN!$E$11,MAIN!$E$18,PVTCALCULATOR!$G$10),CalcRs(MAIN!$E$20,MAIN!$E$17,MAIN!$E$16,MAIN!$E$12,TABLE!$C$10,MAIN!$E$11,MAIN!$E$18,PVTCALCULATOR!$G$10))</f>
        <v>0.19998176945970467</v>
      </c>
      <c r="F32" s="69">
        <f>CalcBoil(MAIN!$E$20,MAIN!$E$20,C32,MAIN!$E$11,MAIN!$E$18,MAIN!$E$12,PVTCALCULATOR!$G$10,MAIN!$E$16,MAIN!$E$17)</f>
        <v>1.1414617303384424</v>
      </c>
      <c r="G32" s="69">
        <f>CalcViscoOil(PVTCALCULATOR!$G$10,MAIN!$E$11,MAIN!$E$18,TABLE!E32,MAIN!$E$12,TABLE!C32)</f>
        <v>0.36813705963306065</v>
      </c>
      <c r="H32" s="69">
        <f>(co(C32,MAIN!$E$11,MAIN!$E$18,MAIN!$E$12,PVTCALCULATOR!$G$10,MAIN!$E$19,MAIN!$E$16,MAIN!$E$17))*100000</f>
        <v>2.4429537793573983</v>
      </c>
      <c r="I32" s="69">
        <f>CalcDensityOil(MAIN!$E$18,E32,F32,MAIN!$E$12)</f>
        <v>43.407596774058355</v>
      </c>
      <c r="J32" s="69">
        <f>DensGas(C32,MAIN!$E$11,MAIN!$E$12,K32)</f>
        <v>3.5366417254078368</v>
      </c>
      <c r="K32" s="69">
        <f>calcZ(C32/MAIN!$N$11,MAIN!$N$16)</f>
        <v>0.91736939918350002</v>
      </c>
      <c r="L32" s="69">
        <f>CalcBg(C32,MAIN!$E$11,K32,MAIN!$E$10)</f>
        <v>2.578226330391749</v>
      </c>
      <c r="M32" s="69">
        <f>CalcViscoGasTes(J32,MAIN!$E$12,MAIN!$E$11)</f>
        <v>1.5249776789167509E-2</v>
      </c>
      <c r="N32" s="69">
        <f>(CalcCg(C32/MAIN!$N$11,MAIN!$N$16,MAIN!$N$11))*100000</f>
        <v>89.44672426012427</v>
      </c>
      <c r="O32" s="69">
        <f>Rsw(C32,MAIN!$E$11,MAIN!$L$19*0.0001)</f>
        <v>7.3116049458383341E-3</v>
      </c>
      <c r="P32" s="69">
        <f>CalcBbrine(MAIN!$E$11,C32)</f>
        <v>1.039513071997082</v>
      </c>
      <c r="Q32" s="69">
        <f>CalcViscoBrine($R$53,MAIN!$L$19*0.0001,MAIN!$E$11,TABLE!C32)</f>
        <v>3.2873443157411815E-2</v>
      </c>
      <c r="R32" s="69">
        <f>(CalcCw(C32,MAIN!$E$11))*100000</f>
        <v>0.32666171841521069</v>
      </c>
      <c r="S32" s="69">
        <f>brinedensity(MAIN!$L$19*0.0001,MAIN!$E$11,C32)</f>
        <v>60.420792611424048</v>
      </c>
    </row>
    <row r="33" spans="1:19" ht="16" x14ac:dyDescent="0.35">
      <c r="A33" s="63"/>
      <c r="B33" s="63"/>
      <c r="C33" s="71">
        <f t="shared" si="1"/>
        <v>1108.9724444444432</v>
      </c>
      <c r="D33" s="70" t="str">
        <f>IF(C33&gt;PVTCALCULATOR!$G$10,"Under Saturated","Saturated")</f>
        <v>Under Saturated</v>
      </c>
      <c r="E33" s="69">
        <f>IF(C33&lt;PVTCALCULATOR!$G$10,CalcRs(MAIN!$E$20,MAIN!$E$17,MAIN!$E$16,MAIN!$E$12,TABLE!C33,MAIN!$E$11,MAIN!$E$18,PVTCALCULATOR!$G$10),CalcRs(MAIN!$E$20,MAIN!$E$17,MAIN!$E$16,MAIN!$E$12,TABLE!$C$10,MAIN!$E$11,MAIN!$E$18,PVTCALCULATOR!$G$10))</f>
        <v>0.19998176945970467</v>
      </c>
      <c r="F33" s="69">
        <f>CalcBoil(MAIN!$E$20,MAIN!$E$20,C33,MAIN!$E$11,MAIN!$E$18,MAIN!$E$12,PVTCALCULATOR!$G$10,MAIN!$E$16,MAIN!$E$17)</f>
        <v>1.1428435728058213</v>
      </c>
      <c r="G33" s="69">
        <f>CalcViscoOil(PVTCALCULATOR!$G$10,MAIN!$E$11,MAIN!$E$18,TABLE!E33,MAIN!$E$12,TABLE!C33)</f>
        <v>0.36377985416130809</v>
      </c>
      <c r="H33" s="69">
        <f>(co(C33,MAIN!$E$11,MAIN!$E$18,MAIN!$E$12,PVTCALCULATOR!$G$10,MAIN!$E$19,MAIN!$E$16,MAIN!$E$17))*100000</f>
        <v>2.6283830087732243</v>
      </c>
      <c r="I33" s="69">
        <f>CalcDensityOil(MAIN!$E$18,E33,F33,MAIN!$E$12)</f>
        <v>43.355111497808359</v>
      </c>
      <c r="J33" s="69">
        <f>DensGas(C33,MAIN!$E$11,MAIN!$E$12,K33)</f>
        <v>3.2712949355044181</v>
      </c>
      <c r="K33" s="69">
        <f>calcZ(C33/MAIN!$N$11,MAIN!$N$16)</f>
        <v>0.9218116946748649</v>
      </c>
      <c r="L33" s="69">
        <f>CalcBg(C33,MAIN!$E$11,K33,MAIN!$E$10)</f>
        <v>2.7873557711489561</v>
      </c>
      <c r="M33" s="69">
        <f>CalcViscoGasTes(J33,MAIN!$E$12,MAIN!$E$11)</f>
        <v>1.5073021069386875E-2</v>
      </c>
      <c r="N33" s="69">
        <f>(CalcCg(C33/MAIN!$N$11,MAIN!$N$16,MAIN!$N$11))*100000</f>
        <v>96.141794248299405</v>
      </c>
      <c r="O33" s="69">
        <f>Rsw(C33,MAIN!$E$11,MAIN!$L$19*0.0001)</f>
        <v>6.9364025866094333E-3</v>
      </c>
      <c r="P33" s="69">
        <f>CalcBbrine(MAIN!$E$11,C33)</f>
        <v>1.0396323984698561</v>
      </c>
      <c r="Q33" s="69">
        <f>CalcViscoBrine($R$53,MAIN!$L$19*0.0001,MAIN!$E$11,TABLE!C33)</f>
        <v>2.8398696148579303E-2</v>
      </c>
      <c r="R33" s="69">
        <f>(CalcCw(C33,MAIN!$E$11))*100000</f>
        <v>0.32727688426862933</v>
      </c>
      <c r="S33" s="69">
        <f>brinedensity(MAIN!$L$19*0.0001,MAIN!$E$11,C33)</f>
        <v>60.41385766011323</v>
      </c>
    </row>
    <row r="34" spans="1:19" ht="16" x14ac:dyDescent="0.35">
      <c r="A34" s="63"/>
      <c r="B34" s="63"/>
      <c r="C34" s="71">
        <f t="shared" si="1"/>
        <v>1024.7973333333321</v>
      </c>
      <c r="D34" s="70" t="str">
        <f>IF(C34&gt;PVTCALCULATOR!$G$10,"Under Saturated","Saturated")</f>
        <v>Under Saturated</v>
      </c>
      <c r="E34" s="69">
        <f>IF(C34&lt;PVTCALCULATOR!$G$10,CalcRs(MAIN!$E$20,MAIN!$E$17,MAIN!$E$16,MAIN!$E$12,TABLE!C34,MAIN!$E$11,MAIN!$E$18,PVTCALCULATOR!$G$10),CalcRs(MAIN!$E$20,MAIN!$E$17,MAIN!$E$16,MAIN!$E$12,TABLE!$C$10,MAIN!$E$11,MAIN!$E$18,PVTCALCULATOR!$G$10))</f>
        <v>0.19998176945970467</v>
      </c>
      <c r="F34" s="69">
        <f>CalcBoil(MAIN!$E$20,MAIN!$E$20,C34,MAIN!$E$11,MAIN!$E$18,MAIN!$E$12,PVTCALCULATOR!$G$10,MAIN!$E$16,MAIN!$E$17)</f>
        <v>1.1444545274273497</v>
      </c>
      <c r="G34" s="69">
        <f>CalcViscoOil(PVTCALCULATOR!$G$10,MAIN!$E$11,MAIN!$E$18,TABLE!E34,MAIN!$E$12,TABLE!C34)</f>
        <v>0.35970961966188814</v>
      </c>
      <c r="H34" s="69">
        <f>(co(C34,MAIN!$E$11,MAIN!$E$18,MAIN!$E$12,PVTCALCULATOR!$G$10,MAIN!$E$19,MAIN!$E$16,MAIN!$E$17))*100000</f>
        <v>2.844273921649048</v>
      </c>
      <c r="I34" s="69">
        <f>CalcDensityOil(MAIN!$E$18,E34,F34,MAIN!$E$12)</f>
        <v>43.294084068967408</v>
      </c>
      <c r="J34" s="69">
        <f>DensGas(C34,MAIN!$E$11,MAIN!$E$12,K34)</f>
        <v>3.0076666425627581</v>
      </c>
      <c r="K34" s="69">
        <f>calcZ(C34/MAIN!$N$11,MAIN!$N$16)</f>
        <v>0.92650858388287305</v>
      </c>
      <c r="L34" s="69">
        <f>CalcBg(C34,MAIN!$E$11,K34,MAIN!$E$10)</f>
        <v>3.0316733538791207</v>
      </c>
      <c r="M34" s="69">
        <f>CalcViscoGasTes(J34,MAIN!$E$12,MAIN!$E$11)</f>
        <v>1.4903675875055511E-2</v>
      </c>
      <c r="N34" s="69">
        <f>(CalcCg(C34/MAIN!$N$11,MAIN!$N$16,MAIN!$N$11))*100000</f>
        <v>103.86279281159977</v>
      </c>
      <c r="O34" s="69">
        <f>Rsw(C34,MAIN!$E$11,MAIN!$L$19*0.0001)</f>
        <v>6.5581918259702424E-3</v>
      </c>
      <c r="P34" s="69">
        <f>CalcBbrine(MAIN!$E$11,C34)</f>
        <v>1.0397478760823353</v>
      </c>
      <c r="Q34" s="69">
        <f>CalcViscoBrine($R$53,MAIN!$L$19*0.0001,MAIN!$E$11,TABLE!C34)</f>
        <v>2.4251179976247577E-2</v>
      </c>
      <c r="R34" s="69">
        <f>(CalcCw(C34,MAIN!$E$11))*100000</f>
        <v>0.32789205012204797</v>
      </c>
      <c r="S34" s="69">
        <f>brinedensity(MAIN!$L$19*0.0001,MAIN!$E$11,C34)</f>
        <v>60.407147910371265</v>
      </c>
    </row>
    <row r="35" spans="1:19" ht="16" x14ac:dyDescent="0.35">
      <c r="A35" s="63"/>
      <c r="B35" s="63"/>
      <c r="C35" s="71">
        <f t="shared" si="1"/>
        <v>940.6222222222209</v>
      </c>
      <c r="D35" s="70" t="str">
        <f>IF(C35&gt;PVTCALCULATOR!$G$10,"Under Saturated","Saturated")</f>
        <v>Under Saturated</v>
      </c>
      <c r="E35" s="69">
        <f>IF(C35&lt;PVTCALCULATOR!$G$10,CalcRs(MAIN!$E$20,MAIN!$E$17,MAIN!$E$16,MAIN!$E$12,TABLE!C35,MAIN!$E$11,MAIN!$E$18,PVTCALCULATOR!$G$10),CalcRs(MAIN!$E$20,MAIN!$E$17,MAIN!$E$16,MAIN!$E$12,TABLE!$C$10,MAIN!$E$11,MAIN!$E$18,PVTCALCULATOR!$G$10))</f>
        <v>0.19998176945970467</v>
      </c>
      <c r="F35" s="69">
        <f>CalcBoil(MAIN!$E$20,MAIN!$E$20,C35,MAIN!$E$11,MAIN!$E$18,MAIN!$E$12,PVTCALCULATOR!$G$10,MAIN!$E$16,MAIN!$E$17)</f>
        <v>1.1463567237490386</v>
      </c>
      <c r="G35" s="69">
        <f>CalcViscoOil(PVTCALCULATOR!$G$10,MAIN!$E$11,MAIN!$E$18,TABLE!E35,MAIN!$E$12,TABLE!C35)</f>
        <v>0.35594009141183158</v>
      </c>
      <c r="H35" s="69">
        <f>(co(C35,MAIN!$E$11,MAIN!$E$18,MAIN!$E$12,PVTCALCULATOR!$G$10,MAIN!$E$19,MAIN!$E$16,MAIN!$E$17))*100000</f>
        <v>3.0988044523222671</v>
      </c>
      <c r="I35" s="69">
        <f>CalcDensityOil(MAIN!$E$18,E35,F35,MAIN!$E$12)</f>
        <v>43.222244434968012</v>
      </c>
      <c r="J35" s="69">
        <f>DensGas(C35,MAIN!$E$11,MAIN!$E$12,K35)</f>
        <v>2.7459127108211043</v>
      </c>
      <c r="K35" s="69">
        <f>calcZ(C35/MAIN!$N$11,MAIN!$N$16)</f>
        <v>0.93147170528289913</v>
      </c>
      <c r="L35" s="69">
        <f>CalcBg(C35,MAIN!$E$11,K35,MAIN!$E$10)</f>
        <v>3.3206673983755208</v>
      </c>
      <c r="M35" s="69">
        <f>CalcViscoGasTes(J35,MAIN!$E$12,MAIN!$E$11)</f>
        <v>1.4741797954045906E-2</v>
      </c>
      <c r="N35" s="69">
        <f>(CalcCg(C35/MAIN!$N$11,MAIN!$N$16,MAIN!$N$11))*100000</f>
        <v>112.88949509085765</v>
      </c>
      <c r="O35" s="69">
        <f>Rsw(C35,MAIN!$E$11,MAIN!$L$19*0.0001)</f>
        <v>6.1769726639207614E-3</v>
      </c>
      <c r="P35" s="69">
        <f>CalcBbrine(MAIN!$E$11,C35)</f>
        <v>1.0398595048345194</v>
      </c>
      <c r="Q35" s="69">
        <f>CalcViscoBrine($R$53,MAIN!$L$19*0.0001,MAIN!$E$11,TABLE!C35)</f>
        <v>2.0430894640416624E-2</v>
      </c>
      <c r="R35" s="69">
        <f>(CalcCw(C35,MAIN!$E$11))*100000</f>
        <v>0.32850721597546667</v>
      </c>
      <c r="S35" s="69">
        <f>brinedensity(MAIN!$L$19*0.0001,MAIN!$E$11,C35)</f>
        <v>60.400663212666544</v>
      </c>
    </row>
    <row r="36" spans="1:19" ht="16" x14ac:dyDescent="0.35">
      <c r="C36" s="71">
        <f t="shared" si="1"/>
        <v>856.44711111110973</v>
      </c>
      <c r="D36" s="70" t="str">
        <f>IF(C36&gt;PVTCALCULATOR!$G$10,"Under Saturated","Saturated")</f>
        <v>Under Saturated</v>
      </c>
      <c r="E36" s="69">
        <f>IF(C36&lt;PVTCALCULATOR!$G$10,CalcRs(MAIN!$E$20,MAIN!$E$17,MAIN!$E$16,MAIN!$E$12,TABLE!C36,MAIN!$E$11,MAIN!$E$18,PVTCALCULATOR!$G$10),CalcRs(MAIN!$E$20,MAIN!$E$17,MAIN!$E$16,MAIN!$E$12,TABLE!$C$10,MAIN!$E$11,MAIN!$E$18,PVTCALCULATOR!$G$10))</f>
        <v>0.19998176945970467</v>
      </c>
      <c r="F36" s="69">
        <f>CalcBoil(MAIN!$E$20,MAIN!$E$20,C36,MAIN!$E$11,MAIN!$E$18,MAIN!$E$12,PVTCALCULATOR!$G$10,MAIN!$E$16,MAIN!$E$17)</f>
        <v>1.1486369866657835</v>
      </c>
      <c r="G36" s="69">
        <f>CalcViscoOil(PVTCALCULATOR!$G$10,MAIN!$E$11,MAIN!$E$18,TABLE!E36,MAIN!$E$12,TABLE!C36)</f>
        <v>0.35248767618354332</v>
      </c>
      <c r="H36" s="69">
        <f>(co(C36,MAIN!$E$11,MAIN!$E$18,MAIN!$E$12,PVTCALCULATOR!$G$10,MAIN!$E$19,MAIN!$E$16,MAIN!$E$17))*100000</f>
        <v>3.403367577939481</v>
      </c>
      <c r="I36" s="69">
        <f>CalcDensityOil(MAIN!$E$18,E36,F36,MAIN!$E$12)</f>
        <v>43.136440057860469</v>
      </c>
      <c r="J36" s="69">
        <f>DensGas(C36,MAIN!$E$11,MAIN!$E$12,K36)</f>
        <v>2.4864042482090247</v>
      </c>
      <c r="K36" s="69">
        <f>calcZ(C36/MAIN!$N$11,MAIN!$N$16)</f>
        <v>0.93663410947675019</v>
      </c>
      <c r="L36" s="69">
        <f>CalcBg(C36,MAIN!$E$11,K36,MAIN!$E$10)</f>
        <v>3.6672487284304403</v>
      </c>
      <c r="M36" s="69">
        <f>CalcViscoGasTes(J36,MAIN!$E$12,MAIN!$E$11)</f>
        <v>1.4587586637990891E-2</v>
      </c>
      <c r="N36" s="69">
        <f>(CalcCg(C36/MAIN!$N$11,MAIN!$N$16,MAIN!$N$11))*100000</f>
        <v>123.6130236181731</v>
      </c>
      <c r="O36" s="69">
        <f>Rsw(C36,MAIN!$E$11,MAIN!$L$19*0.0001)</f>
        <v>5.7927451004609904E-3</v>
      </c>
      <c r="P36" s="69">
        <f>CalcBbrine(MAIN!$E$11,C36)</f>
        <v>1.0399672847264083</v>
      </c>
      <c r="Q36" s="69">
        <f>CalcViscoBrine($R$53,MAIN!$L$19*0.0001,MAIN!$E$11,TABLE!C36)</f>
        <v>1.6937840141086454E-2</v>
      </c>
      <c r="R36" s="69">
        <f>(CalcCw(C36,MAIN!$E$11))*100000</f>
        <v>0.32912238182888526</v>
      </c>
      <c r="S36" s="69">
        <f>brinedensity(MAIN!$L$19*0.0001,MAIN!$E$11,C36)</f>
        <v>60.394403422530168</v>
      </c>
    </row>
    <row r="37" spans="1:19" ht="16" x14ac:dyDescent="0.35">
      <c r="C37" s="71">
        <f t="shared" si="1"/>
        <v>772.27199999999857</v>
      </c>
      <c r="D37" s="70" t="str">
        <f>IF(C37&gt;PVTCALCULATOR!$G$10,"Under Saturated","Saturated")</f>
        <v>Under Saturated</v>
      </c>
      <c r="E37" s="69">
        <f>IF(C37&lt;PVTCALCULATOR!$G$10,CalcRs(MAIN!$E$20,MAIN!$E$17,MAIN!$E$16,MAIN!$E$12,TABLE!C37,MAIN!$E$11,MAIN!$E$18,PVTCALCULATOR!$G$10),CalcRs(MAIN!$E$20,MAIN!$E$17,MAIN!$E$16,MAIN!$E$12,TABLE!$C$10,MAIN!$E$11,MAIN!$E$18,PVTCALCULATOR!$G$10))</f>
        <v>0.19998176945970467</v>
      </c>
      <c r="F37" s="69">
        <f>CalcBoil(MAIN!$E$20,MAIN!$E$20,C37,MAIN!$E$11,MAIN!$E$18,MAIN!$E$12,PVTCALCULATOR!$G$10,MAIN!$E$16,MAIN!$E$17)</f>
        <v>1.1514204594834503</v>
      </c>
      <c r="G37" s="69">
        <f>CalcViscoOil(PVTCALCULATOR!$G$10,MAIN!$E$11,MAIN!$E$18,TABLE!E37,MAIN!$E$12,TABLE!C37)</f>
        <v>0.3493721655541262</v>
      </c>
      <c r="H37" s="69">
        <f>(co(C37,MAIN!$E$11,MAIN!$E$18,MAIN!$E$12,PVTCALCULATOR!$G$10,MAIN!$E$19,MAIN!$E$16,MAIN!$E$17))*100000</f>
        <v>3.7743234639809402</v>
      </c>
      <c r="I37" s="69">
        <f>CalcDensityOil(MAIN!$E$18,E37,F37,MAIN!$E$12)</f>
        <v>43.032160941258844</v>
      </c>
      <c r="J37" s="69">
        <f>DensGas(C37,MAIN!$E$11,MAIN!$E$12,K37)</f>
        <v>2.229218938460348</v>
      </c>
      <c r="K37" s="69">
        <f>calcZ(C37/MAIN!$N$11,MAIN!$N$16)</f>
        <v>0.94201696661737166</v>
      </c>
      <c r="L37" s="69">
        <f>CalcBg(C37,MAIN!$E$11,K37,MAIN!$E$10)</f>
        <v>4.090339742002322</v>
      </c>
      <c r="M37" s="69">
        <f>CalcViscoGasTes(J37,MAIN!$E$12,MAIN!$E$11)</f>
        <v>1.4441079905085995E-2</v>
      </c>
      <c r="N37" s="69">
        <f>(CalcCg(C37/MAIN!$N$11,MAIN!$N$16,MAIN!$N$11))*100000</f>
        <v>136.59425214877749</v>
      </c>
      <c r="O37" s="69">
        <f>Rsw(C37,MAIN!$E$11,MAIN!$L$19*0.0001)</f>
        <v>5.4055091355909302E-3</v>
      </c>
      <c r="P37" s="69">
        <f>CalcBbrine(MAIN!$E$11,C37)</f>
        <v>1.0400712157580021</v>
      </c>
      <c r="Q37" s="69">
        <f>CalcViscoBrine($R$53,MAIN!$L$19*0.0001,MAIN!$E$11,TABLE!C37)</f>
        <v>1.3772016478257071E-2</v>
      </c>
      <c r="R37" s="69">
        <f>(CalcCw(C37,MAIN!$E$11))*100000</f>
        <v>0.32973754768230401</v>
      </c>
      <c r="S37" s="69">
        <f>brinedensity(MAIN!$L$19*0.0001,MAIN!$E$11,C37)</f>
        <v>60.388368400547932</v>
      </c>
    </row>
    <row r="38" spans="1:19" ht="16" x14ac:dyDescent="0.35">
      <c r="C38" s="71">
        <f t="shared" si="1"/>
        <v>688.09688888888741</v>
      </c>
      <c r="D38" s="70" t="str">
        <f>IF(C38&gt;PVTCALCULATOR!$G$10,"Under Saturated","Saturated")</f>
        <v>Under Saturated</v>
      </c>
      <c r="E38" s="69">
        <f>IF(C38&lt;PVTCALCULATOR!$G$10,CalcRs(MAIN!$E$20,MAIN!$E$17,MAIN!$E$16,MAIN!$E$12,TABLE!C38,MAIN!$E$11,MAIN!$E$18,PVTCALCULATOR!$G$10),CalcRs(MAIN!$E$20,MAIN!$E$17,MAIN!$E$16,MAIN!$E$12,TABLE!$C$10,MAIN!$E$11,MAIN!$E$18,PVTCALCULATOR!$G$10))</f>
        <v>0.19998176945970467</v>
      </c>
      <c r="F38" s="69">
        <f>CalcBoil(MAIN!$E$20,MAIN!$E$20,C38,MAIN!$E$11,MAIN!$E$18,MAIN!$E$12,PVTCALCULATOR!$G$10,MAIN!$E$16,MAIN!$E$17)</f>
        <v>1.1548943628191441</v>
      </c>
      <c r="G38" s="69">
        <f>CalcViscoOil(PVTCALCULATOR!$G$10,MAIN!$E$11,MAIN!$E$18,TABLE!E38,MAIN!$E$12,TABLE!C38)</f>
        <v>0.34661772141698188</v>
      </c>
      <c r="H38" s="69">
        <f>(co(C38,MAIN!$E$11,MAIN!$E$18,MAIN!$E$12,PVTCALCULATOR!$G$10,MAIN!$E$19,MAIN!$E$16,MAIN!$E$17))*100000</f>
        <v>4.2360376528982684</v>
      </c>
      <c r="I38" s="69">
        <f>CalcDensityOil(MAIN!$E$18,E38,F38,MAIN!$E$12)</f>
        <v>42.902720905660225</v>
      </c>
      <c r="J38" s="69">
        <f>DensGas(C38,MAIN!$E$11,MAIN!$E$12,K38)</f>
        <v>1.9745086636501579</v>
      </c>
      <c r="K38" s="69">
        <f>calcZ(C38/MAIN!$N$11,MAIN!$N$16)</f>
        <v>0.94761452825910508</v>
      </c>
      <c r="L38" s="69">
        <f>CalcBg(C38,MAIN!$E$11,K38,MAIN!$E$10)</f>
        <v>4.6179907870103714</v>
      </c>
      <c r="M38" s="69">
        <f>CalcViscoGasTes(J38,MAIN!$E$12,MAIN!$E$11)</f>
        <v>1.4302394441420601E-2</v>
      </c>
      <c r="N38" s="69">
        <f>(CalcCg(C38/MAIN!$N$11,MAIN!$N$16,MAIN!$N$11))*100000</f>
        <v>152.66912795532315</v>
      </c>
      <c r="O38" s="69">
        <f>Rsw(C38,MAIN!$E$11,MAIN!$L$19*0.0001)</f>
        <v>5.0152647693105798E-3</v>
      </c>
      <c r="P38" s="69">
        <f>CalcBbrine(MAIN!$E$11,C38)</f>
        <v>1.040171297929301</v>
      </c>
      <c r="Q38" s="69">
        <f>CalcViscoBrine($R$53,MAIN!$L$19*0.0001,MAIN!$E$11,TABLE!C38)</f>
        <v>1.0933423651928467E-2</v>
      </c>
      <c r="R38" s="69">
        <f>(CalcCw(C38,MAIN!$E$11))*100000</f>
        <v>0.33035271353572271</v>
      </c>
      <c r="S38" s="69">
        <f>brinedensity(MAIN!$L$19*0.0001,MAIN!$E$11,C38)</f>
        <v>60.38255801235249</v>
      </c>
    </row>
    <row r="39" spans="1:19" ht="16" x14ac:dyDescent="0.35">
      <c r="C39" s="71">
        <f t="shared" si="1"/>
        <v>603.92177777777624</v>
      </c>
      <c r="D39" s="70" t="str">
        <f>IF(C39&gt;PVTCALCULATOR!$G$10,"Under Saturated","Saturated")</f>
        <v>Saturated</v>
      </c>
      <c r="E39" s="69">
        <f>IF(C39&lt;PVTCALCULATOR!$G$10,CalcRs(MAIN!$E$20,MAIN!$E$17,MAIN!$E$16,MAIN!$E$12,TABLE!C39,MAIN!$E$11,MAIN!$E$18,PVTCALCULATOR!$G$10),CalcRs(MAIN!$E$20,MAIN!$E$17,MAIN!$E$16,MAIN!$E$12,TABLE!$C$10,MAIN!$E$11,MAIN!$E$18,PVTCALCULATOR!$G$10))</f>
        <v>0.1828525900977572</v>
      </c>
      <c r="F39" s="69">
        <f>CalcBoil(MAIN!$E$20,MAIN!$E$20,C39,MAIN!$E$11,MAIN!$E$18,MAIN!$E$12,PVTCALCULATOR!$G$10,MAIN!$E$16,MAIN!$E$17)</f>
        <v>1.148842352124007</v>
      </c>
      <c r="G39" s="69">
        <f>CalcViscoOil(PVTCALCULATOR!$G$10,MAIN!$E$11,MAIN!$E$18,TABLE!E39,MAIN!$E$12,TABLE!C39)</f>
        <v>0.35317773743767339</v>
      </c>
      <c r="H39" s="69">
        <f>(co(C39,MAIN!$E$11,MAIN!$E$18,MAIN!$E$12,PVTCALCULATOR!$G$10,MAIN!$E$19,MAIN!$E$16,MAIN!$E$17))*100000</f>
        <v>114.1535350745277</v>
      </c>
      <c r="I39" s="69">
        <f>CalcDensityOil(MAIN!$E$18,E39,F39,MAIN!$E$12)</f>
        <v>42.99266682939389</v>
      </c>
      <c r="J39" s="69">
        <f>DensGas(C39,MAIN!$E$11,MAIN!$E$12,K39)</f>
        <v>1.7224033384290307</v>
      </c>
      <c r="K39" s="69">
        <f>calcZ(C39/MAIN!$N$11,MAIN!$N$16)</f>
        <v>0.95342600233236285</v>
      </c>
      <c r="L39" s="69">
        <f>CalcBg(C39,MAIN!$E$11,K39,MAIN!$E$10)</f>
        <v>5.2939184534588595</v>
      </c>
      <c r="M39" s="69">
        <f>CalcViscoGasTes(J39,MAIN!$E$12,MAIN!$E$11)</f>
        <v>1.417167989754952E-2</v>
      </c>
      <c r="N39" s="69">
        <f>(CalcCg(C39/MAIN!$N$11,MAIN!$N$16,MAIN!$N$11))*100000</f>
        <v>173.13973340397118</v>
      </c>
      <c r="O39" s="69">
        <f>Rsw(C39,MAIN!$E$11,MAIN!$L$19*0.0001)</f>
        <v>4.6220120016199403E-3</v>
      </c>
      <c r="P39" s="69">
        <f>CalcBbrine(MAIN!$E$11,C39)</f>
        <v>1.0402675312403047</v>
      </c>
      <c r="Q39" s="69">
        <f>CalcViscoBrine($R$53,MAIN!$L$19*0.0001,MAIN!$E$11,TABLE!C39)</f>
        <v>8.4220616621006415E-3</v>
      </c>
      <c r="R39" s="69">
        <f>(CalcCw(C39,MAIN!$E$11))*100000</f>
        <v>0.3309678793891413</v>
      </c>
      <c r="S39" s="69">
        <f>brinedensity(MAIN!$L$19*0.0001,MAIN!$E$11,C39)</f>
        <v>60.376972128615954</v>
      </c>
    </row>
    <row r="40" spans="1:19" ht="16" x14ac:dyDescent="0.35">
      <c r="C40" s="71">
        <f t="shared" si="1"/>
        <v>519.74666666666508</v>
      </c>
      <c r="D40" s="70" t="str">
        <f>IF(C40&gt;PVTCALCULATOR!$G$10,"Under Saturated","Saturated")</f>
        <v>Saturated</v>
      </c>
      <c r="E40" s="69">
        <f>IF(C40&lt;PVTCALCULATOR!$G$10,CalcRs(MAIN!$E$20,MAIN!$E$17,MAIN!$E$16,MAIN!$E$12,TABLE!C40,MAIN!$E$11,MAIN!$E$18,PVTCALCULATOR!$G$10),CalcRs(MAIN!$E$20,MAIN!$E$17,MAIN!$E$16,MAIN!$E$12,TABLE!$C$10,MAIN!$E$11,MAIN!$E$18,PVTCALCULATOR!$G$10))</f>
        <v>0.1538086571235141</v>
      </c>
      <c r="F40" s="69">
        <f>CalcBoil(MAIN!$E$20,MAIN!$E$20,C40,MAIN!$E$11,MAIN!$E$18,MAIN!$E$12,PVTCALCULATOR!$G$10,MAIN!$E$16,MAIN!$E$17)</f>
        <v>1.1357582314323766</v>
      </c>
      <c r="G40" s="69">
        <f>CalcViscoOil(PVTCALCULATOR!$G$10,MAIN!$E$11,MAIN!$E$18,TABLE!E40,MAIN!$E$12,TABLE!C40)</f>
        <v>0.36757700970235463</v>
      </c>
      <c r="H40" s="69">
        <f>(co(C40,MAIN!$E$11,MAIN!$E$18,MAIN!$E$12,PVTCALCULATOR!$G$10,MAIN!$E$19,MAIN!$E$16,MAIN!$E$17))*100000</f>
        <v>140.72225978167239</v>
      </c>
      <c r="I40" s="69">
        <f>CalcDensityOil(MAIN!$E$18,E40,F40,MAIN!$E$12)</f>
        <v>43.254586944668709</v>
      </c>
      <c r="J40" s="69">
        <f>DensGas(C40,MAIN!$E$11,MAIN!$E$12,K40)</f>
        <v>1.4730977115154003</v>
      </c>
      <c r="K40" s="69">
        <f>calcZ(C40/MAIN!$N$11,MAIN!$N$16)</f>
        <v>0.95940354249982007</v>
      </c>
      <c r="L40" s="69">
        <f>CalcBg(C40,MAIN!$E$11,K40,MAIN!$E$10)</f>
        <v>6.1898560742644033</v>
      </c>
      <c r="M40" s="69">
        <f>CalcViscoGasTes(J40,MAIN!$E$12,MAIN!$E$11)</f>
        <v>1.404918176268293E-2</v>
      </c>
      <c r="N40" s="69">
        <f>(CalcCg(C40/MAIN!$N$11,MAIN!$N$16,MAIN!$N$11))*100000</f>
        <v>200.15240735449913</v>
      </c>
      <c r="O40" s="69">
        <f>Rsw(C40,MAIN!$E$11,MAIN!$L$19*0.0001)</f>
        <v>4.2257508325190089E-3</v>
      </c>
      <c r="P40" s="69">
        <f>CalcBbrine(MAIN!$E$11,C40)</f>
        <v>1.040359915691013</v>
      </c>
      <c r="Q40" s="69">
        <f>CalcViscoBrine($R$53,MAIN!$L$19*0.0001,MAIN!$E$11,TABLE!C40)</f>
        <v>6.2379305087735997E-3</v>
      </c>
      <c r="R40" s="69">
        <f>(CalcCw(C40,MAIN!$E$11))*100000</f>
        <v>0.33158304524255999</v>
      </c>
      <c r="S40" s="69">
        <f>brinedensity(MAIN!$L$19*0.0001,MAIN!$E$11,C40)</f>
        <v>60.371610625042614</v>
      </c>
    </row>
    <row r="41" spans="1:19" ht="16" x14ac:dyDescent="0.35">
      <c r="C41" s="71">
        <f t="shared" si="1"/>
        <v>435.57155555555397</v>
      </c>
      <c r="D41" s="70" t="str">
        <f>IF(C41&gt;PVTCALCULATOR!$G$10,"Under Saturated","Saturated")</f>
        <v>Saturated</v>
      </c>
      <c r="E41" s="69">
        <f>IF(C41&lt;PVTCALCULATOR!$G$10,CalcRs(MAIN!$E$20,MAIN!$E$17,MAIN!$E$16,MAIN!$E$12,TABLE!C41,MAIN!$E$11,MAIN!$E$18,PVTCALCULATOR!$G$10),CalcRs(MAIN!$E$20,MAIN!$E$17,MAIN!$E$16,MAIN!$E$12,TABLE!$C$10,MAIN!$E$11,MAIN!$E$18,PVTCALCULATOR!$G$10))</f>
        <v>0.12567187405483368</v>
      </c>
      <c r="F41" s="69">
        <f>CalcBoil(MAIN!$E$20,MAIN!$E$20,C41,MAIN!$E$11,MAIN!$E$18,MAIN!$E$12,PVTCALCULATOR!$G$10,MAIN!$E$16,MAIN!$E$17)</f>
        <v>1.1232507379989689</v>
      </c>
      <c r="G41" s="69">
        <f>CalcViscoOil(PVTCALCULATOR!$G$10,MAIN!$E$11,MAIN!$E$18,TABLE!E41,MAIN!$E$12,TABLE!C41)</f>
        <v>0.38376936270785872</v>
      </c>
      <c r="H41" s="69">
        <f>(co(C41,MAIN!$E$11,MAIN!$E$18,MAIN!$E$12,PVTCALCULATOR!$G$10,MAIN!$E$19,MAIN!$E$16,MAIN!$E$17))*100000</f>
        <v>180.02279071191526</v>
      </c>
      <c r="I41" s="69">
        <f>CalcDensityOil(MAIN!$E$18,E41,F41,MAIN!$E$12)</f>
        <v>43.507639468907442</v>
      </c>
      <c r="J41" s="69">
        <f>DensGas(C41,MAIN!$E$11,MAIN!$E$12,K41)</f>
        <v>1.2266386103353812</v>
      </c>
      <c r="K41" s="69">
        <f>calcZ(C41/MAIN!$N$11,MAIN!$N$16)</f>
        <v>0.96557061420589441</v>
      </c>
      <c r="L41" s="69">
        <f>CalcBg(C41,MAIN!$E$11,K41,MAIN!$E$10)</f>
        <v>7.433536447312318</v>
      </c>
      <c r="M41" s="69">
        <f>CalcViscoGasTes(J41,MAIN!$E$12,MAIN!$E$11)</f>
        <v>1.3935166438403106E-2</v>
      </c>
      <c r="N41" s="69">
        <f>(CalcCg(C41/MAIN!$N$11,MAIN!$N$16,MAIN!$N$11))*100000</f>
        <v>237.51103830186739</v>
      </c>
      <c r="O41" s="69">
        <f>Rsw(C41,MAIN!$E$11,MAIN!$L$19*0.0001)</f>
        <v>3.8264812620077892E-3</v>
      </c>
      <c r="P41" s="69">
        <f>CalcBbrine(MAIN!$E$11,C41)</f>
        <v>1.0404484512814265</v>
      </c>
      <c r="Q41" s="69">
        <f>CalcViscoBrine($R$53,MAIN!$L$19*0.0001,MAIN!$E$11,TABLE!C41)</f>
        <v>4.3810301919473393E-3</v>
      </c>
      <c r="R41" s="69">
        <f>(CalcCw(C41,MAIN!$E$11))*100000</f>
        <v>0.33219821109597863</v>
      </c>
      <c r="S41" s="69">
        <f>brinedensity(MAIN!$L$19*0.0001,MAIN!$E$11,C41)</f>
        <v>60.366473382362003</v>
      </c>
    </row>
    <row r="42" spans="1:19" ht="16" x14ac:dyDescent="0.35">
      <c r="C42" s="71">
        <f>C41-(($C$10-14.696)/36)</f>
        <v>351.39644444444286</v>
      </c>
      <c r="D42" s="70" t="str">
        <f>IF(C42&gt;PVTCALCULATOR!$G$10,"Under Saturated","Saturated")</f>
        <v>Saturated</v>
      </c>
      <c r="E42" s="69">
        <f>IF(C42&lt;PVTCALCULATOR!$G$10,CalcRs(MAIN!$E$20,MAIN!$E$17,MAIN!$E$16,MAIN!$E$12,TABLE!C42,MAIN!$E$11,MAIN!$E$18,PVTCALCULATOR!$G$10),CalcRs(MAIN!$E$20,MAIN!$E$17,MAIN!$E$16,MAIN!$E$12,TABLE!$C$10,MAIN!$E$11,MAIN!$E$18,PVTCALCULATOR!$G$10))</f>
        <v>9.8572836055126054E-2</v>
      </c>
      <c r="F42" s="69">
        <f>CalcBoil(MAIN!$E$20,MAIN!$E$20,C42,MAIN!$E$11,MAIN!$E$18,MAIN!$E$12,PVTCALCULATOR!$G$10,MAIN!$E$16,MAIN!$E$17)</f>
        <v>1.1113695197261153</v>
      </c>
      <c r="G42" s="69">
        <f>CalcViscoOil(PVTCALCULATOR!$G$10,MAIN!$E$11,MAIN!$E$18,TABLE!E42,MAIN!$E$12,TABLE!C42)</f>
        <v>0.40212198955381667</v>
      </c>
      <c r="H42" s="69">
        <f>(co(C42,MAIN!$E$11,MAIN!$E$18,MAIN!$E$12,PVTCALCULATOR!$G$10,MAIN!$E$19,MAIN!$E$16,MAIN!$E$17))*100000</f>
        <v>242.84821986488208</v>
      </c>
      <c r="I42" s="69">
        <f>CalcDensityOil(MAIN!$E$18,E42,F42,MAIN!$E$12)</f>
        <v>43.750248947672908</v>
      </c>
      <c r="J42" s="69">
        <f>DensGas(C42,MAIN!$E$11,MAIN!$E$12,K42)</f>
        <v>0.98313681127548935</v>
      </c>
      <c r="K42" s="69">
        <f>calcZ(C42/MAIN!$N$11,MAIN!$N$16)</f>
        <v>0.97190667559735522</v>
      </c>
      <c r="L42" s="69">
        <f>CalcBg(C42,MAIN!$E$11,K42,MAIN!$E$10)</f>
        <v>9.2746632137381333</v>
      </c>
      <c r="M42" s="69">
        <f>CalcViscoGasTes(J42,MAIN!$E$12,MAIN!$E$11)</f>
        <v>1.3830083168836268E-2</v>
      </c>
      <c r="N42" s="69">
        <f>(CalcCg(C42/MAIN!$N$11,MAIN!$N$16,MAIN!$N$11))*100000</f>
        <v>292.66498064224896</v>
      </c>
      <c r="O42" s="69">
        <f>Rsw(C42,MAIN!$E$11,MAIN!$L$19*0.0001)</f>
        <v>3.424203290086279E-3</v>
      </c>
      <c r="P42" s="69">
        <f>CalcBbrine(MAIN!$E$11,C42)</f>
        <v>1.0405331380115448</v>
      </c>
      <c r="Q42" s="69">
        <f>CalcViscoBrine($R$53,MAIN!$L$19*0.0001,MAIN!$E$11,TABLE!C42)</f>
        <v>2.8513607116218607E-3</v>
      </c>
      <c r="R42" s="69">
        <f>(CalcCw(C42,MAIN!$E$11))*100000</f>
        <v>0.33281337694939728</v>
      </c>
      <c r="S42" s="69">
        <f>brinedensity(MAIN!$L$19*0.0001,MAIN!$E$11,C42)</f>
        <v>60.361560286322323</v>
      </c>
    </row>
    <row r="43" spans="1:19" ht="16" x14ac:dyDescent="0.35">
      <c r="C43" s="71">
        <f>C42-(($C$10-14.696)/36)</f>
        <v>267.22133333333176</v>
      </c>
      <c r="D43" s="70" t="str">
        <f>IF(C43&gt;PVTCALCULATOR!$G$10,"Under Saturated","Saturated")</f>
        <v>Saturated</v>
      </c>
      <c r="E43" s="69">
        <f>IF(C43&lt;PVTCALCULATOR!$G$10,CalcRs(MAIN!$E$20,MAIN!$E$17,MAIN!$E$16,MAIN!$E$12,TABLE!C43,MAIN!$E$11,MAIN!$E$18,PVTCALCULATOR!$G$10),CalcRs(MAIN!$E$20,MAIN!$E$17,MAIN!$E$16,MAIN!$E$12,TABLE!$C$10,MAIN!$E$11,MAIN!$E$18,PVTCALCULATOR!$G$10))</f>
        <v>7.2694438006056239E-2</v>
      </c>
      <c r="F43" s="69">
        <f>CalcBoil(MAIN!$E$20,MAIN!$E$20,C43,MAIN!$E$11,MAIN!$E$18,MAIN!$E$12,PVTCALCULATOR!$G$10,MAIN!$E$16,MAIN!$E$17)</f>
        <v>1.1001832615202005</v>
      </c>
      <c r="G43" s="69">
        <f>CalcViscoOil(PVTCALCULATOR!$G$10,MAIN!$E$11,MAIN!$E$18,TABLE!E43,MAIN!$E$12,TABLE!C43)</f>
        <v>0.42307657436783203</v>
      </c>
      <c r="H43" s="69">
        <f>(co(C43,MAIN!$E$11,MAIN!$E$18,MAIN!$E$12,PVTCALCULATOR!$G$10,MAIN!$E$19,MAIN!$E$16,MAIN!$E$17))*100000</f>
        <v>355.72803846914047</v>
      </c>
      <c r="I43" s="69">
        <f>CalcDensityOil(MAIN!$E$18,E43,F43,MAIN!$E$12)</f>
        <v>43.980433936776627</v>
      </c>
      <c r="J43" s="69">
        <f>DensGas(C43,MAIN!$E$11,MAIN!$E$12,K43)</f>
        <v>0.74266771534716414</v>
      </c>
      <c r="K43" s="69">
        <f>calcZ(C43/MAIN!$N$11,MAIN!$N$16)</f>
        <v>0.97840292287167097</v>
      </c>
      <c r="L43" s="69">
        <f>CalcBg(C43,MAIN!$E$11,K43,MAIN!$E$10)</f>
        <v>12.277715362039412</v>
      </c>
      <c r="M43" s="69">
        <f>CalcViscoGasTes(J43,MAIN!$E$12,MAIN!$E$11)</f>
        <v>1.3734615982604371E-2</v>
      </c>
      <c r="N43" s="69">
        <f>(CalcCg(C43/MAIN!$N$11,MAIN!$N$16,MAIN!$N$11))*100000</f>
        <v>382.44875026828493</v>
      </c>
      <c r="O43" s="69">
        <f>Rsw(C43,MAIN!$E$11,MAIN!$L$19*0.0001)</f>
        <v>3.0189169167544787E-3</v>
      </c>
      <c r="P43" s="69">
        <f>CalcBbrine(MAIN!$E$11,C43)</f>
        <v>1.0406139758813679</v>
      </c>
      <c r="Q43" s="69">
        <f>CalcViscoBrine($R$53,MAIN!$L$19*0.0001,MAIN!$E$11,TABLE!C43)</f>
        <v>1.6489220677971628E-3</v>
      </c>
      <c r="R43" s="69">
        <f>(CalcCw(C43,MAIN!$E$11))*100000</f>
        <v>0.33342854280281603</v>
      </c>
      <c r="S43" s="69">
        <f>brinedensity(MAIN!$L$19*0.0001,MAIN!$E$11,C43)</f>
        <v>60.35687122768401</v>
      </c>
    </row>
    <row r="44" spans="1:19" ht="16" x14ac:dyDescent="0.35">
      <c r="C44" s="71">
        <f t="shared" ref="C44:C46" si="2">C43-(($C$10-14.696)/36)</f>
        <v>183.04622222222065</v>
      </c>
      <c r="D44" s="70" t="str">
        <f>IF(C44&gt;PVTCALCULATOR!$G$10,"Under Saturated","Saturated")</f>
        <v>Saturated</v>
      </c>
      <c r="E44" s="69">
        <f>IF(C44&lt;PVTCALCULATOR!$G$10,CalcRs(MAIN!$E$20,MAIN!$E$17,MAIN!$E$16,MAIN!$E$12,TABLE!C44,MAIN!$E$11,MAIN!$E$18,PVTCALCULATOR!$G$10),CalcRs(MAIN!$E$20,MAIN!$E$17,MAIN!$E$16,MAIN!$E$12,TABLE!$C$10,MAIN!$E$11,MAIN!$E$18,PVTCALCULATOR!$G$10))</f>
        <v>4.8314499574466083E-2</v>
      </c>
      <c r="F44" s="69">
        <f>CalcBoil(MAIN!$E$20,MAIN!$E$20,C44,MAIN!$E$11,MAIN!$E$18,MAIN!$E$12,PVTCALCULATOR!$G$10,MAIN!$E$16,MAIN!$E$17)</f>
        <v>1.0897959458954445</v>
      </c>
      <c r="G44" s="69">
        <f>CalcViscoOil(PVTCALCULATOR!$G$10,MAIN!$E$11,MAIN!$E$18,TABLE!E44,MAIN!$E$12,TABLE!C44)</f>
        <v>0.44710634384129638</v>
      </c>
      <c r="H44" s="69">
        <f>(co(C44,MAIN!$E$11,MAIN!$E$18,MAIN!$E$12,PVTCALCULATOR!$G$10,MAIN!$E$19,MAIN!$E$16,MAIN!$E$17))*100000</f>
        <v>602.79096539677664</v>
      </c>
      <c r="I44" s="69">
        <f>CalcDensityOil(MAIN!$E$18,E44,F44,MAIN!$E$12)</f>
        <v>44.19548069240679</v>
      </c>
      <c r="J44" s="69">
        <f>DensGas(C44,MAIN!$E$11,MAIN!$E$12,K44)</f>
        <v>0.50529279355891921</v>
      </c>
      <c r="K44" s="69">
        <f>calcZ(C44/MAIN!$N$11,MAIN!$N$16)</f>
        <v>0.98505124806217792</v>
      </c>
      <c r="L44" s="69">
        <f>CalcBg(C44,MAIN!$E$11,K44,MAIN!$E$10)</f>
        <v>18.045503387028539</v>
      </c>
      <c r="M44" s="69">
        <f>CalcViscoGasTes(J44,MAIN!$E$12,MAIN!$E$11)</f>
        <v>1.3649917629944169E-2</v>
      </c>
      <c r="N44" s="69">
        <f>(CalcCg(C44/MAIN!$N$11,MAIN!$N$16,MAIN!$N$11))*100000</f>
        <v>554.66151990058825</v>
      </c>
      <c r="O44" s="69">
        <f>Rsw(C44,MAIN!$E$11,MAIN!$L$19*0.0001)</f>
        <v>2.6106221420123888E-3</v>
      </c>
      <c r="P44" s="69">
        <f>CalcBbrine(MAIN!$E$11,C44)</f>
        <v>1.0406909648908962</v>
      </c>
      <c r="Q44" s="69">
        <f>CalcViscoBrine($R$53,MAIN!$L$19*0.0001,MAIN!$E$11,TABLE!C44)</f>
        <v>7.7371426047324584E-4</v>
      </c>
      <c r="R44" s="69">
        <f>(CalcCw(C44,MAIN!$E$11))*100000</f>
        <v>0.33404370865623473</v>
      </c>
      <c r="S44" s="69">
        <f>brinedensity(MAIN!$L$19*0.0001,MAIN!$E$11,C44)</f>
        <v>60.352406102213713</v>
      </c>
    </row>
    <row r="45" spans="1:19" ht="16" x14ac:dyDescent="0.35">
      <c r="C45" s="71">
        <f t="shared" si="2"/>
        <v>98.871111111109542</v>
      </c>
      <c r="D45" s="70" t="str">
        <f>IF(C45&gt;PVTCALCULATOR!$G$10,"Under Saturated","Saturated")</f>
        <v>Saturated</v>
      </c>
      <c r="E45" s="69">
        <f>IF(C45&lt;PVTCALCULATOR!$G$10,CalcRs(MAIN!$E$20,MAIN!$E$17,MAIN!$E$16,MAIN!$E$12,TABLE!C45,MAIN!$E$11,MAIN!$E$18,PVTCALCULATOR!$G$10),CalcRs(MAIN!$E$20,MAIN!$E$17,MAIN!$E$16,MAIN!$E$12,TABLE!$C$10,MAIN!$E$11,MAIN!$E$18,PVTCALCULATOR!$G$10))</f>
        <v>2.5917113254294286E-2</v>
      </c>
      <c r="F45" s="69">
        <f>CalcBoil(MAIN!$E$20,MAIN!$E$20,C45,MAIN!$E$11,MAIN!$E$18,MAIN!$E$12,PVTCALCULATOR!$G$10,MAIN!$E$16,MAIN!$E$17)</f>
        <v>1.0803902926397657</v>
      </c>
      <c r="G45" s="69">
        <f>CalcViscoOil(PVTCALCULATOR!$G$10,MAIN!$E$11,MAIN!$E$18,TABLE!E45,MAIN!$E$12,TABLE!C45)</f>
        <v>0.47448240538676684</v>
      </c>
      <c r="H45" s="69">
        <f>(co(C45,MAIN!$E$11,MAIN!$E$18,MAIN!$E$12,PVTCALCULATOR!$G$10,MAIN!$E$19,MAIN!$E$16,MAIN!$E$17))*100000</f>
        <v>1422.4915129574215</v>
      </c>
      <c r="I45" s="69">
        <f>CalcDensityOil(MAIN!$E$18,E45,F45,MAIN!$E$12)</f>
        <v>44.39105610593738</v>
      </c>
      <c r="J45" s="69">
        <f>DensGas(C45,MAIN!$E$11,MAIN!$E$12,K45)</f>
        <v>0.27106097635364884</v>
      </c>
      <c r="K45" s="69">
        <f>calcZ(C45/MAIN!$N$11,MAIN!$N$16)</f>
        <v>0.99184447006204024</v>
      </c>
      <c r="L45" s="69">
        <f>CalcBg(C45,MAIN!$E$11,K45,MAIN!$E$10)</f>
        <v>33.639157285820964</v>
      </c>
      <c r="M45" s="69">
        <f>CalcViscoGasTes(J45,MAIN!$E$12,MAIN!$E$11)</f>
        <v>1.3578235909955995E-2</v>
      </c>
      <c r="N45" s="69">
        <f>(CalcCg(C45/MAIN!$N$11,MAIN!$N$16,MAIN!$N$11))*100000</f>
        <v>1019.8775466686585</v>
      </c>
      <c r="O45" s="69">
        <f>Rsw(C45,MAIN!$E$11,MAIN!$L$19*0.0001)</f>
        <v>2.1993189658600087E-3</v>
      </c>
      <c r="P45" s="69">
        <f>CalcBbrine(MAIN!$E$11,C45)</f>
        <v>1.0407641050401293</v>
      </c>
      <c r="Q45" s="69">
        <f>CalcViscoBrine($R$53,MAIN!$L$19*0.0001,MAIN!$E$11,TABLE!C45)</f>
        <v>2.2573728965010978E-4</v>
      </c>
      <c r="R45" s="69">
        <f>(CalcCw(C45,MAIN!$E$11))*100000</f>
        <v>0.33465887450965331</v>
      </c>
      <c r="S45" s="69">
        <f>brinedensity(MAIN!$L$19*0.0001,MAIN!$E$11,C45)</f>
        <v>60.348164810678469</v>
      </c>
    </row>
    <row r="46" spans="1:19" ht="16" x14ac:dyDescent="0.35">
      <c r="C46" s="71">
        <f t="shared" si="2"/>
        <v>14.695999999998435</v>
      </c>
      <c r="D46" s="70" t="str">
        <f>IF(C46&gt;PVTCALCULATOR!$G$10,"Under Saturated","Saturated")</f>
        <v>Saturated</v>
      </c>
      <c r="E46" s="69">
        <f>IF(C46&lt;PVTCALCULATOR!$G$10,CalcRs(MAIN!$E$20,MAIN!$E$17,MAIN!$E$16,MAIN!$E$12,TABLE!C46,MAIN!$E$11,MAIN!$E$18,PVTCALCULATOR!$G$10),CalcRs(MAIN!$E$20,MAIN!$E$17,MAIN!$E$16,MAIN!$E$12,TABLE!$C$10,MAIN!$E$11,MAIN!$E$18,PVTCALCULATOR!$G$10))</f>
        <v>6.6437270019024412E-3</v>
      </c>
      <c r="F46" s="69">
        <f>CalcBoil(MAIN!$E$20,MAIN!$E$20,C46,MAIN!$E$11,MAIN!$E$18,MAIN!$E$12,PVTCALCULATOR!$G$10,MAIN!$E$16,MAIN!$E$17)</f>
        <v>1.0724076269319316</v>
      </c>
      <c r="G46" s="69">
        <f>CalcViscoOil(PVTCALCULATOR!$G$10,MAIN!$E$11,MAIN!$E$18,TABLE!E46,MAIN!$E$12,TABLE!C46)</f>
        <v>0.50406647116554204</v>
      </c>
      <c r="H46" s="69">
        <f>(co(C46,MAIN!$E$11,MAIN!$E$18,MAIN!$E$12,PVTCALCULATOR!$G$10,MAIN!$E$19,MAIN!$E$16,MAIN!$E$17))*100000</f>
        <v>20281.535983505386</v>
      </c>
      <c r="I46" s="69">
        <f>CalcDensityOil(MAIN!$E$18,E46,F46,MAIN!$E$12)</f>
        <v>44.557483258490549</v>
      </c>
      <c r="J46" s="69">
        <f>DensGas(C46,MAIN!$E$11,MAIN!$E$12,K46)</f>
        <v>3.9961363959930336E-2</v>
      </c>
      <c r="K46" s="69">
        <v>1</v>
      </c>
      <c r="L46" s="69">
        <f>CalcBg(C46,MAIN!$E$11,K46,MAIN!$E$10)</f>
        <v>228.17696680102219</v>
      </c>
      <c r="M46" s="69">
        <f>CalcViscoGasTes(J46,MAIN!$E$12,MAIN!$E$11)</f>
        <v>1.3526122495586943E-2</v>
      </c>
      <c r="N46" s="69" t="e">
        <f>CalcCg(C46/MAIN!$N$11,MAIN!$N$16,MAIN!$N$11)</f>
        <v>#VALUE!</v>
      </c>
      <c r="O46" s="69">
        <f>Rsw(C46,MAIN!$E$11,MAIN!$L$19*0.0001)</f>
        <v>1.7850073882973386E-3</v>
      </c>
      <c r="P46" s="69">
        <f>CalcBbrine(MAIN!$E$11,C46)</f>
        <v>1.040833396329067</v>
      </c>
      <c r="Q46" s="69">
        <f>CalcViscoBrine($R$53,MAIN!$L$19*0.0001,MAIN!$E$11,TABLE!C46)</f>
        <v>4.9911553277546826E-6</v>
      </c>
      <c r="R46" s="69">
        <f>(CalcCw(C46,MAIN!$E$11))*100000</f>
        <v>0.33527404036307201</v>
      </c>
      <c r="S46" s="69">
        <f>brinedensity(MAIN!$L$19*0.0001,MAIN!$E$11,C46)</f>
        <v>60.344147258840195</v>
      </c>
    </row>
    <row r="51" spans="1:19" x14ac:dyDescent="0.25">
      <c r="A51" s="82"/>
      <c r="B51" s="82"/>
      <c r="C51" s="82"/>
      <c r="D51" s="82"/>
      <c r="E51" s="82"/>
      <c r="N51" s="82"/>
      <c r="O51" s="82"/>
      <c r="P51" s="82"/>
      <c r="Q51" s="82"/>
      <c r="R51" s="82"/>
      <c r="S51" s="82"/>
    </row>
    <row r="52" spans="1:19" x14ac:dyDescent="0.25">
      <c r="A52" s="82" t="s">
        <v>70</v>
      </c>
      <c r="B52" s="82">
        <f>MAIN!E20</f>
        <v>1</v>
      </c>
      <c r="C52" s="82"/>
      <c r="D52" s="82"/>
      <c r="E52" s="82"/>
      <c r="N52" s="82"/>
      <c r="O52" s="82"/>
      <c r="P52" s="82"/>
      <c r="Q52" s="82"/>
      <c r="R52" s="82"/>
      <c r="S52" s="82"/>
    </row>
    <row r="53" spans="1:19" x14ac:dyDescent="0.25">
      <c r="A53" s="82"/>
      <c r="B53" s="82"/>
      <c r="C53" s="82"/>
      <c r="D53" s="82"/>
      <c r="E53" s="82"/>
      <c r="N53" s="82"/>
      <c r="O53" s="82"/>
      <c r="P53" s="82"/>
      <c r="Q53" s="82"/>
      <c r="R53" s="82">
        <v>1</v>
      </c>
      <c r="S53" s="82"/>
    </row>
    <row r="54" spans="1:19" x14ac:dyDescent="0.25">
      <c r="A54" s="82"/>
      <c r="B54" s="82"/>
      <c r="C54" s="82"/>
      <c r="D54" s="82"/>
      <c r="E54" s="82"/>
      <c r="N54" s="82"/>
      <c r="O54" s="82"/>
      <c r="P54" s="82"/>
      <c r="Q54" s="82"/>
      <c r="R54" s="82"/>
      <c r="S54" s="82"/>
    </row>
    <row r="55" spans="1:19" x14ac:dyDescent="0.25">
      <c r="A55" s="82"/>
      <c r="B55" s="82"/>
      <c r="C55" s="82"/>
      <c r="D55" s="82"/>
      <c r="E55" s="82"/>
      <c r="N55" s="82"/>
      <c r="O55" s="82"/>
      <c r="P55" s="82"/>
      <c r="Q55" s="82"/>
      <c r="R55" s="82"/>
      <c r="S55" s="82"/>
    </row>
    <row r="56" spans="1:19" x14ac:dyDescent="0.25">
      <c r="A56" s="82"/>
      <c r="B56" s="82"/>
      <c r="C56" s="82"/>
      <c r="D56" s="82"/>
      <c r="E56" s="82"/>
      <c r="N56" s="82"/>
      <c r="O56" s="82"/>
      <c r="P56" s="82"/>
      <c r="Q56" s="82"/>
      <c r="R56" s="82"/>
      <c r="S56" s="82"/>
    </row>
    <row r="57" spans="1:19" x14ac:dyDescent="0.25">
      <c r="A57" s="82"/>
      <c r="B57" s="82"/>
      <c r="C57" s="82"/>
      <c r="D57" s="82"/>
      <c r="E57" s="82"/>
      <c r="N57" s="82"/>
      <c r="O57" s="82"/>
      <c r="P57" s="82"/>
      <c r="Q57" s="82"/>
      <c r="R57" s="82"/>
      <c r="S57" s="82"/>
    </row>
    <row r="58" spans="1:19" x14ac:dyDescent="0.25">
      <c r="A58" s="82"/>
      <c r="B58" s="82"/>
      <c r="C58" s="82"/>
      <c r="D58" s="82"/>
      <c r="E58" s="82"/>
      <c r="N58" s="82"/>
      <c r="O58" s="82"/>
      <c r="P58" s="82"/>
      <c r="Q58" s="82"/>
      <c r="R58" s="82"/>
      <c r="S58" s="82"/>
    </row>
    <row r="59" spans="1:19" x14ac:dyDescent="0.25">
      <c r="A59" s="82"/>
      <c r="B59" s="82"/>
      <c r="C59" s="82"/>
      <c r="D59" s="82"/>
      <c r="E59" s="82"/>
      <c r="N59" s="82"/>
      <c r="O59" s="82"/>
      <c r="P59" s="82"/>
      <c r="Q59" s="82"/>
      <c r="R59" s="82"/>
      <c r="S59" s="82"/>
    </row>
    <row r="60" spans="1:19" x14ac:dyDescent="0.25">
      <c r="A60" s="82"/>
      <c r="B60" s="82"/>
      <c r="C60" s="82"/>
      <c r="D60" s="82"/>
      <c r="E60" s="82"/>
      <c r="N60" s="82"/>
      <c r="O60" s="82"/>
      <c r="P60" s="82"/>
      <c r="Q60" s="82"/>
      <c r="R60" s="82"/>
      <c r="S60" s="82"/>
    </row>
    <row r="61" spans="1:19" x14ac:dyDescent="0.25">
      <c r="A61" s="82"/>
      <c r="B61" s="82"/>
      <c r="C61" s="82"/>
      <c r="D61" s="82"/>
      <c r="E61" s="82"/>
    </row>
    <row r="62" spans="1:19" x14ac:dyDescent="0.25">
      <c r="A62" s="82"/>
      <c r="B62" s="82"/>
      <c r="C62" s="82"/>
      <c r="D62" s="82"/>
      <c r="E62" s="82"/>
    </row>
    <row r="63" spans="1:19" x14ac:dyDescent="0.25">
      <c r="A63" s="82"/>
      <c r="B63" s="82"/>
      <c r="C63" s="82"/>
      <c r="D63" s="82"/>
      <c r="E63" s="82"/>
    </row>
    <row r="64" spans="1:19" x14ac:dyDescent="0.25">
      <c r="A64" s="82"/>
      <c r="B64" s="82"/>
      <c r="C64" s="82"/>
      <c r="D64" s="82"/>
      <c r="E64" s="82"/>
    </row>
    <row r="65" spans="1:5" x14ac:dyDescent="0.25">
      <c r="A65" s="82" t="s">
        <v>70</v>
      </c>
      <c r="B65" s="82">
        <v>1</v>
      </c>
      <c r="C65" s="82"/>
      <c r="D65" s="82"/>
      <c r="E65" s="82"/>
    </row>
    <row r="66" spans="1:5" x14ac:dyDescent="0.25">
      <c r="A66" s="82"/>
      <c r="B66" s="82">
        <v>2</v>
      </c>
      <c r="C66" s="82"/>
      <c r="D66" s="82"/>
      <c r="E66" s="82"/>
    </row>
    <row r="67" spans="1:5" x14ac:dyDescent="0.25">
      <c r="A67" s="82"/>
      <c r="B67" s="82"/>
      <c r="C67" s="82"/>
      <c r="D67" s="82"/>
      <c r="E67" s="82"/>
    </row>
    <row r="68" spans="1:5" x14ac:dyDescent="0.25">
      <c r="A68" s="82"/>
      <c r="B68" s="82"/>
      <c r="C68" s="82"/>
      <c r="D68" s="82"/>
      <c r="E68" s="82"/>
    </row>
    <row r="69" spans="1:5" x14ac:dyDescent="0.25">
      <c r="A69" s="82"/>
      <c r="B69" s="82"/>
      <c r="C69" s="82"/>
      <c r="D69" s="82"/>
      <c r="E69" s="82"/>
    </row>
    <row r="70" spans="1:5" x14ac:dyDescent="0.25">
      <c r="A70" s="82"/>
      <c r="B70" s="82"/>
      <c r="C70" s="82"/>
      <c r="D70" s="82"/>
      <c r="E70" s="82"/>
    </row>
    <row r="71" spans="1:5" x14ac:dyDescent="0.25">
      <c r="A71" s="82"/>
      <c r="B71" s="82"/>
      <c r="C71" s="82"/>
      <c r="D71" s="82"/>
      <c r="E71" s="82"/>
    </row>
    <row r="72" spans="1:5" x14ac:dyDescent="0.25">
      <c r="A72" s="82"/>
      <c r="B72" s="82"/>
      <c r="C72" s="82"/>
      <c r="D72" s="82"/>
      <c r="E72" s="82"/>
    </row>
    <row r="73" spans="1:5" x14ac:dyDescent="0.25">
      <c r="A73" s="82"/>
      <c r="B73" s="82"/>
      <c r="C73" s="82"/>
      <c r="D73" s="82"/>
      <c r="E73" s="82"/>
    </row>
    <row r="74" spans="1:5" x14ac:dyDescent="0.25">
      <c r="A74" s="82"/>
      <c r="B74" s="82"/>
      <c r="C74" s="82"/>
      <c r="D74" s="82"/>
      <c r="E74" s="82"/>
    </row>
    <row r="75" spans="1:5" x14ac:dyDescent="0.25">
      <c r="A75" s="82"/>
      <c r="B75" s="82"/>
      <c r="C75" s="82"/>
      <c r="D75" s="82"/>
      <c r="E75" s="82"/>
    </row>
  </sheetData>
  <mergeCells count="3">
    <mergeCell ref="A2:B2"/>
    <mergeCell ref="A12:B12"/>
    <mergeCell ref="C5:S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3" name="Button 10">
              <controlPr defaultSize="0" print="0" autoFill="0" autoPict="0" macro="[0]!HOME">
                <anchor moveWithCells="1" sizeWithCells="1">
                  <from>
                    <xdr:col>0</xdr:col>
                    <xdr:colOff>298450</xdr:colOff>
                    <xdr:row>6</xdr:row>
                    <xdr:rowOff>114300</xdr:rowOff>
                  </from>
                  <to>
                    <xdr:col>1</xdr:col>
                    <xdr:colOff>279400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4" name="Button 11">
              <controlPr defaultSize="0" print="0" autoFill="0" autoPict="0" macro="[0]!PVTCALCULATOR">
                <anchor moveWithCells="1" sizeWithCells="1">
                  <from>
                    <xdr:col>0</xdr:col>
                    <xdr:colOff>285750</xdr:colOff>
                    <xdr:row>9</xdr:row>
                    <xdr:rowOff>146050</xdr:rowOff>
                  </from>
                  <to>
                    <xdr:col>1</xdr:col>
                    <xdr:colOff>279400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PVTCHARTS">
                <anchor moveWithCells="1" sizeWithCells="1">
                  <from>
                    <xdr:col>0</xdr:col>
                    <xdr:colOff>260350</xdr:colOff>
                    <xdr:row>12</xdr:row>
                    <xdr:rowOff>133350</xdr:rowOff>
                  </from>
                  <to>
                    <xdr:col>1</xdr:col>
                    <xdr:colOff>260350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U52"/>
  <sheetViews>
    <sheetView zoomScale="80" zoomScaleNormal="80" workbookViewId="0">
      <selection activeCell="D13" sqref="D13"/>
    </sheetView>
  </sheetViews>
  <sheetFormatPr defaultColWidth="9.1796875" defaultRowHeight="14.5" x14ac:dyDescent="0.35"/>
  <cols>
    <col min="1" max="2" width="9.1796875" style="72"/>
    <col min="3" max="3" width="12.1796875" style="72" customWidth="1"/>
    <col min="4" max="14" width="9.1796875" style="72"/>
    <col min="15" max="15" width="11.453125" style="72" customWidth="1"/>
    <col min="16" max="16" width="27.54296875" style="72" customWidth="1"/>
    <col min="17" max="17" width="11.54296875" style="72" customWidth="1"/>
    <col min="18" max="18" width="14" style="72" customWidth="1"/>
    <col min="19" max="19" width="20.1796875" style="72" customWidth="1"/>
    <col min="20" max="20" width="13.7265625" style="72" customWidth="1"/>
    <col min="21" max="21" width="9.1796875" style="72"/>
    <col min="22" max="22" width="11.26953125" style="72" customWidth="1"/>
    <col min="23" max="16384" width="9.1796875" style="72"/>
  </cols>
  <sheetData>
    <row r="1" spans="2:11" x14ac:dyDescent="0.35">
      <c r="C1" s="74"/>
    </row>
    <row r="3" spans="2:11" x14ac:dyDescent="0.35">
      <c r="B3" s="124" t="s">
        <v>94</v>
      </c>
      <c r="C3" s="124"/>
      <c r="H3" s="72">
        <v>13</v>
      </c>
    </row>
    <row r="4" spans="2:11" x14ac:dyDescent="0.35">
      <c r="C4" s="74"/>
    </row>
    <row r="5" spans="2:11" x14ac:dyDescent="0.35">
      <c r="C5" s="74" t="str">
        <f>INDEX(TABLE!$E$9:$S$9,GRAFIK!$H$3)</f>
        <v>μw</v>
      </c>
      <c r="I5" s="72">
        <f>INDEX(AG4:AG18,$H$3)</f>
        <v>0</v>
      </c>
      <c r="K5" s="81"/>
    </row>
    <row r="6" spans="2:11" x14ac:dyDescent="0.35">
      <c r="C6" s="74" t="str">
        <f>INDEX(TABLE!$E$8:$S$8,GRAFIK!$H$3)</f>
        <v>(cp)</v>
      </c>
    </row>
    <row r="7" spans="2:11" x14ac:dyDescent="0.35">
      <c r="B7" s="72">
        <f>TABLE!C10</f>
        <v>3045</v>
      </c>
      <c r="C7" s="74">
        <f>INDEX(TABLE!E10:S10,GRAFIK!$H$3)</f>
        <v>0.21410727898642476</v>
      </c>
    </row>
    <row r="8" spans="2:11" x14ac:dyDescent="0.35">
      <c r="B8" s="72">
        <f>TABLE!C11</f>
        <v>2960.8248888888888</v>
      </c>
      <c r="C8" s="74">
        <f>INDEX(TABLE!E11:S11,GRAFIK!$H$3)</f>
        <v>0.20243345357457507</v>
      </c>
    </row>
    <row r="9" spans="2:11" x14ac:dyDescent="0.35">
      <c r="B9" s="72">
        <f>TABLE!C12</f>
        <v>2876.6497777777777</v>
      </c>
      <c r="C9" s="74">
        <f>INDEX(TABLE!E12:S12,GRAFIK!$H$3)</f>
        <v>0.19108685899922614</v>
      </c>
    </row>
    <row r="10" spans="2:11" x14ac:dyDescent="0.35">
      <c r="B10" s="72">
        <f>TABLE!C13</f>
        <v>2792.4746666666665</v>
      </c>
      <c r="C10" s="74">
        <f>INDEX(TABLE!E13:S13,GRAFIK!$H$3)</f>
        <v>0.18006749526037796</v>
      </c>
    </row>
    <row r="11" spans="2:11" x14ac:dyDescent="0.35">
      <c r="B11" s="72">
        <f>TABLE!C14</f>
        <v>2708.2995555555553</v>
      </c>
      <c r="C11" s="74">
        <f>INDEX(TABLE!E14:S14,GRAFIK!$H$3)</f>
        <v>0.16937536235803063</v>
      </c>
    </row>
    <row r="12" spans="2:11" x14ac:dyDescent="0.35">
      <c r="B12" s="72">
        <f>TABLE!C15</f>
        <v>2624.1244444444442</v>
      </c>
      <c r="C12" s="74">
        <f>INDEX(TABLE!E15:S15,GRAFIK!$H$3)</f>
        <v>0.15901046029218407</v>
      </c>
    </row>
    <row r="13" spans="2:11" x14ac:dyDescent="0.35">
      <c r="B13" s="72">
        <f>TABLE!C16</f>
        <v>2539.949333333333</v>
      </c>
      <c r="C13" s="74">
        <f>INDEX(TABLE!E16:S16,GRAFIK!$H$3)</f>
        <v>0.14897278906283826</v>
      </c>
    </row>
    <row r="14" spans="2:11" x14ac:dyDescent="0.35">
      <c r="B14" s="72">
        <f>TABLE!C17</f>
        <v>2455.7742222222219</v>
      </c>
      <c r="C14" s="74">
        <f>INDEX(TABLE!E17:S17,GRAFIK!$H$3)</f>
        <v>0.13926234866999326</v>
      </c>
    </row>
    <row r="15" spans="2:11" x14ac:dyDescent="0.35">
      <c r="B15" s="72">
        <f>TABLE!C18</f>
        <v>2371.5991111111107</v>
      </c>
      <c r="C15" s="74">
        <f>INDEX(TABLE!E18:S18,GRAFIK!$H$3)</f>
        <v>0.12987913911364901</v>
      </c>
    </row>
    <row r="16" spans="2:11" x14ac:dyDescent="0.35">
      <c r="B16" s="72">
        <f>TABLE!C19</f>
        <v>2287.4239999999995</v>
      </c>
      <c r="C16" s="74">
        <f>INDEX(TABLE!E19:S19,GRAFIK!$H$3)</f>
        <v>0.1208231603938056</v>
      </c>
    </row>
    <row r="17" spans="2:21" x14ac:dyDescent="0.35">
      <c r="B17" s="72">
        <f>TABLE!C20</f>
        <v>2203.2488888888884</v>
      </c>
      <c r="C17" s="74">
        <f>INDEX(TABLE!E20:S20,GRAFIK!$H$3)</f>
        <v>0.11209441251046288</v>
      </c>
    </row>
    <row r="18" spans="2:21" x14ac:dyDescent="0.35">
      <c r="B18" s="72">
        <f>TABLE!C21</f>
        <v>2119.0737777777772</v>
      </c>
      <c r="C18" s="74">
        <f>INDEX(TABLE!E21:S21,GRAFIK!$H$3)</f>
        <v>0.10369289546362102</v>
      </c>
    </row>
    <row r="19" spans="2:21" x14ac:dyDescent="0.35">
      <c r="B19" s="72">
        <f>TABLE!C22</f>
        <v>2034.898666666666</v>
      </c>
      <c r="C19" s="74">
        <f>INDEX(TABLE!E22:S22,GRAFIK!$H$3)</f>
        <v>9.5618609253279904E-2</v>
      </c>
    </row>
    <row r="20" spans="2:21" x14ac:dyDescent="0.35">
      <c r="B20" s="72">
        <f>TABLE!C23</f>
        <v>1950.7235555555549</v>
      </c>
      <c r="C20" s="74">
        <f>INDEX(TABLE!E23:S23,GRAFIK!$H$3)</f>
        <v>8.7871553879439596E-2</v>
      </c>
    </row>
    <row r="21" spans="2:21" x14ac:dyDescent="0.35">
      <c r="B21" s="72">
        <f>TABLE!C24</f>
        <v>1866.5484444444437</v>
      </c>
      <c r="C21" s="74">
        <f>INDEX(TABLE!E24:S24,GRAFIK!$H$3)</f>
        <v>8.0451729342100042E-2</v>
      </c>
    </row>
    <row r="22" spans="2:21" x14ac:dyDescent="0.35">
      <c r="B22" s="72">
        <f>TABLE!C25</f>
        <v>1782.3733333333325</v>
      </c>
      <c r="C22" s="74">
        <f>INDEX(TABLE!E25:S25,GRAFIK!$H$3)</f>
        <v>7.3359135641261286E-2</v>
      </c>
    </row>
    <row r="23" spans="2:21" x14ac:dyDescent="0.35">
      <c r="B23" s="72">
        <f>TABLE!C26</f>
        <v>1698.1982222222214</v>
      </c>
      <c r="C23" s="74">
        <f>INDEX(TABLE!E26:S26,GRAFIK!$H$3)</f>
        <v>6.6593772776923299E-2</v>
      </c>
    </row>
    <row r="24" spans="2:21" x14ac:dyDescent="0.35">
      <c r="B24" s="72">
        <f>TABLE!C27</f>
        <v>1614.0231111111102</v>
      </c>
      <c r="C24" s="74">
        <f>INDEX(TABLE!E27:S27,GRAFIK!$H$3)</f>
        <v>6.0155640749086095E-2</v>
      </c>
    </row>
    <row r="25" spans="2:21" x14ac:dyDescent="0.35">
      <c r="B25" s="72">
        <f>TABLE!C28</f>
        <v>1529.847999999999</v>
      </c>
      <c r="C25" s="74">
        <f>INDEX(TABLE!E28:S28,GRAFIK!$H$3)</f>
        <v>5.4044739557749674E-2</v>
      </c>
    </row>
    <row r="26" spans="2:21" x14ac:dyDescent="0.35">
      <c r="B26" s="72">
        <f>TABLE!C29</f>
        <v>1445.6728888888879</v>
      </c>
      <c r="C26" s="74">
        <f>INDEX(TABLE!E29:S29,GRAFIK!$H$3)</f>
        <v>4.8261069202914043E-2</v>
      </c>
    </row>
    <row r="27" spans="2:21" ht="15.5" x14ac:dyDescent="0.35">
      <c r="B27" s="72">
        <f>TABLE!C30</f>
        <v>1361.4977777777767</v>
      </c>
      <c r="C27" s="74">
        <f>INDEX(TABLE!E30:S30,GRAFIK!$H$3)</f>
        <v>4.2804629684579189E-2</v>
      </c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</row>
    <row r="28" spans="2:21" x14ac:dyDescent="0.35">
      <c r="B28" s="72">
        <f>TABLE!C31</f>
        <v>1277.3226666666656</v>
      </c>
      <c r="C28" s="74">
        <f>INDEX(TABLE!E31:S31,GRAFIK!$H$3)</f>
        <v>3.7675421002745117E-2</v>
      </c>
    </row>
    <row r="29" spans="2:21" x14ac:dyDescent="0.35">
      <c r="B29" s="72">
        <f>TABLE!C32</f>
        <v>1193.1475555555544</v>
      </c>
      <c r="C29" s="74">
        <f>INDEX(TABLE!E32:S32,GRAFIK!$H$3)</f>
        <v>3.2873443157411815E-2</v>
      </c>
    </row>
    <row r="30" spans="2:21" x14ac:dyDescent="0.35">
      <c r="B30" s="72">
        <f>TABLE!C33</f>
        <v>1108.9724444444432</v>
      </c>
      <c r="C30" s="74">
        <f>INDEX(TABLE!E33:S33,GRAFIK!$H$3)</f>
        <v>2.8398696148579303E-2</v>
      </c>
    </row>
    <row r="31" spans="2:21" x14ac:dyDescent="0.35">
      <c r="B31" s="72">
        <f>TABLE!C34</f>
        <v>1024.7973333333321</v>
      </c>
      <c r="C31" s="74">
        <f>INDEX(TABLE!E34:S34,GRAFIK!$H$3)</f>
        <v>2.4251179976247577E-2</v>
      </c>
    </row>
    <row r="32" spans="2:21" x14ac:dyDescent="0.35">
      <c r="B32" s="72">
        <f>TABLE!C35</f>
        <v>940.6222222222209</v>
      </c>
      <c r="C32" s="74">
        <f>INDEX(TABLE!E35:S35,GRAFIK!$H$3)</f>
        <v>2.0430894640416624E-2</v>
      </c>
    </row>
    <row r="33" spans="2:7" x14ac:dyDescent="0.35">
      <c r="B33" s="72">
        <f>TABLE!C36</f>
        <v>856.44711111110973</v>
      </c>
      <c r="C33" s="74">
        <f>INDEX(TABLE!E36:S36,GRAFIK!$H$3)</f>
        <v>1.6937840141086454E-2</v>
      </c>
    </row>
    <row r="34" spans="2:7" x14ac:dyDescent="0.35">
      <c r="B34" s="72">
        <f>TABLE!C37</f>
        <v>772.27199999999857</v>
      </c>
      <c r="C34" s="74">
        <f>INDEX(TABLE!E37:S37,GRAFIK!$H$3)</f>
        <v>1.3772016478257071E-2</v>
      </c>
    </row>
    <row r="35" spans="2:7" x14ac:dyDescent="0.35">
      <c r="B35" s="72">
        <f>TABLE!C38</f>
        <v>688.09688888888741</v>
      </c>
      <c r="C35" s="74">
        <f>INDEX(TABLE!E38:S38,GRAFIK!$H$3)</f>
        <v>1.0933423651928467E-2</v>
      </c>
    </row>
    <row r="36" spans="2:7" x14ac:dyDescent="0.35">
      <c r="B36" s="72">
        <f>TABLE!C39</f>
        <v>603.92177777777624</v>
      </c>
      <c r="C36" s="74">
        <f>INDEX(TABLE!E39:S39,GRAFIK!$H$3)</f>
        <v>8.4220616621006415E-3</v>
      </c>
    </row>
    <row r="37" spans="2:7" x14ac:dyDescent="0.35">
      <c r="B37" s="72">
        <f>TABLE!C40</f>
        <v>519.74666666666508</v>
      </c>
      <c r="C37" s="74">
        <f>INDEX(TABLE!E40:S40,GRAFIK!$H$3)</f>
        <v>6.2379305087735997E-3</v>
      </c>
    </row>
    <row r="38" spans="2:7" x14ac:dyDescent="0.35">
      <c r="B38" s="72">
        <f>TABLE!C41</f>
        <v>435.57155555555397</v>
      </c>
      <c r="C38" s="74">
        <f>INDEX(TABLE!E41:S41,GRAFIK!$H$3)</f>
        <v>4.3810301919473393E-3</v>
      </c>
      <c r="G38" s="72" t="s">
        <v>103</v>
      </c>
    </row>
    <row r="39" spans="2:7" x14ac:dyDescent="0.35">
      <c r="B39" s="72">
        <f>TABLE!C42</f>
        <v>351.39644444444286</v>
      </c>
      <c r="C39" s="74">
        <f>INDEX(TABLE!E42:S42,GRAFIK!$H$3)</f>
        <v>2.8513607116218607E-3</v>
      </c>
      <c r="G39" s="72" t="s">
        <v>104</v>
      </c>
    </row>
    <row r="40" spans="2:7" x14ac:dyDescent="0.35">
      <c r="B40" s="72">
        <f>TABLE!C43</f>
        <v>267.22133333333176</v>
      </c>
      <c r="C40" s="74">
        <f>INDEX(TABLE!E43:S43,GRAFIK!$H$3)</f>
        <v>1.6489220677971628E-3</v>
      </c>
      <c r="G40" s="72" t="s">
        <v>105</v>
      </c>
    </row>
    <row r="41" spans="2:7" x14ac:dyDescent="0.35">
      <c r="B41" s="72">
        <f>TABLE!C44</f>
        <v>183.04622222222065</v>
      </c>
      <c r="C41" s="74">
        <f>INDEX(TABLE!E44:S44,GRAFIK!$H$3)</f>
        <v>7.7371426047324584E-4</v>
      </c>
      <c r="G41" s="72" t="s">
        <v>110</v>
      </c>
    </row>
    <row r="42" spans="2:7" x14ac:dyDescent="0.35">
      <c r="B42" s="72">
        <f>TABLE!C45</f>
        <v>98.871111111109542</v>
      </c>
      <c r="C42" s="74">
        <f>INDEX(TABLE!E45:S45,GRAFIK!$H$3)</f>
        <v>2.2573728965010978E-4</v>
      </c>
      <c r="G42" s="72" t="s">
        <v>85</v>
      </c>
    </row>
    <row r="43" spans="2:7" x14ac:dyDescent="0.35">
      <c r="C43" s="74"/>
      <c r="G43" s="72" t="s">
        <v>106</v>
      </c>
    </row>
    <row r="44" spans="2:7" x14ac:dyDescent="0.35">
      <c r="G44" s="72" t="s">
        <v>107</v>
      </c>
    </row>
    <row r="45" spans="2:7" x14ac:dyDescent="0.35">
      <c r="G45" s="72" t="s">
        <v>108</v>
      </c>
    </row>
    <row r="46" spans="2:7" x14ac:dyDescent="0.35">
      <c r="G46" s="72" t="s">
        <v>109</v>
      </c>
    </row>
    <row r="47" spans="2:7" x14ac:dyDescent="0.35">
      <c r="G47" s="72" t="s">
        <v>111</v>
      </c>
    </row>
    <row r="48" spans="2:7" x14ac:dyDescent="0.35">
      <c r="G48" s="72" t="s">
        <v>117</v>
      </c>
    </row>
    <row r="49" spans="7:7" x14ac:dyDescent="0.35">
      <c r="G49" s="72" t="s">
        <v>112</v>
      </c>
    </row>
    <row r="50" spans="7:7" x14ac:dyDescent="0.35">
      <c r="G50" s="72" t="s">
        <v>113</v>
      </c>
    </row>
    <row r="51" spans="7:7" x14ac:dyDescent="0.35">
      <c r="G51" s="72" t="s">
        <v>114</v>
      </c>
    </row>
    <row r="52" spans="7:7" x14ac:dyDescent="0.35">
      <c r="G52" s="72" t="s">
        <v>115</v>
      </c>
    </row>
  </sheetData>
  <mergeCells count="1">
    <mergeCell ref="B3:C3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Drop Down 5">
              <controlPr defaultSize="0" autoLine="0" autoPict="0">
                <anchor moveWithCells="1">
                  <from>
                    <xdr:col>0</xdr:col>
                    <xdr:colOff>171450</xdr:colOff>
                    <xdr:row>7</xdr:row>
                    <xdr:rowOff>120650</xdr:rowOff>
                  </from>
                  <to>
                    <xdr:col>3</xdr:col>
                    <xdr:colOff>469900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5" name="Button 6">
              <controlPr defaultSize="0" print="0" autoFill="0" autoPict="0" macro="[0]!HOME">
                <anchor moveWithCells="1" sizeWithCells="1">
                  <from>
                    <xdr:col>15</xdr:col>
                    <xdr:colOff>393700</xdr:colOff>
                    <xdr:row>6</xdr:row>
                    <xdr:rowOff>12700</xdr:rowOff>
                  </from>
                  <to>
                    <xdr:col>16</xdr:col>
                    <xdr:colOff>438150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6" name="Button 7">
              <controlPr defaultSize="0" print="0" autoFill="0" autoPict="0" macro="[0]!PVTTABLE">
                <anchor moveWithCells="1" sizeWithCells="1">
                  <from>
                    <xdr:col>15</xdr:col>
                    <xdr:colOff>361950</xdr:colOff>
                    <xdr:row>14</xdr:row>
                    <xdr:rowOff>152400</xdr:rowOff>
                  </from>
                  <to>
                    <xdr:col>16</xdr:col>
                    <xdr:colOff>431800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7" name="Button 8">
              <controlPr defaultSize="0" print="0" autoFill="0" autoPict="0" macro="[0]!PVTCALCULATOR">
                <anchor moveWithCells="1" sizeWithCells="1">
                  <from>
                    <xdr:col>15</xdr:col>
                    <xdr:colOff>400050</xdr:colOff>
                    <xdr:row>10</xdr:row>
                    <xdr:rowOff>76200</xdr:rowOff>
                  </from>
                  <to>
                    <xdr:col>16</xdr:col>
                    <xdr:colOff>431800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SIGN IN</vt:lpstr>
      <vt:lpstr>MAIN</vt:lpstr>
      <vt:lpstr>PVTCALCULATOR</vt:lpstr>
      <vt:lpstr>TABLE</vt:lpstr>
      <vt:lpstr>GRAFIK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Aqnan Matthew</cp:lastModifiedBy>
  <dcterms:created xsi:type="dcterms:W3CDTF">2016-11-16T05:54:18Z</dcterms:created>
  <dcterms:modified xsi:type="dcterms:W3CDTF">2021-01-12T11:33:43Z</dcterms:modified>
</cp:coreProperties>
</file>